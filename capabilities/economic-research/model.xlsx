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Calculations" sheetId="3" state="visible" r:id="rId3"/>
    <sheet name="Notes" sheetId="4" state="visible" r:id="rId4"/>
  </sheets>
  <definedNames>
    <definedName name="Base_Year">Inputs!$B$3</definedName>
    <definedName name="End_Year">Inputs!$B$4</definedName>
    <definedName name="Baseline_Annual_Hires">Inputs!$B$5</definedName>
    <definedName name="Depressed_Hiring_Pct">Inputs!$B$6</definedName>
    <definedName name="Recovery_Start_Year">Inputs!$B$7</definedName>
    <definedName name="Transition_Rate">Inputs!$B$8</definedName>
    <definedName name="Attrition_Rate">Inputs!$B$9</definedName>
    <definedName name="N_Primary">Inputs!$B$10</definedName>
    <definedName name="N_Sensitivity">Inputs!$B$11</definedName>
    <definedName name="Base_MidLevel_Stock">Inputs!$B$12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Pipeline Projection — Summary</t>
        </is>
      </c>
    </row>
    <row r="2">
      <c r="A2" s="2" t="inlineStr">
        <is>
          <t>Formulas reference Calculations. Open in Excel/LibreOffice and let it recalculate — this workbook was built by script and ships uncalculated, same as capabilities/marginal-analysis/model.xlsx; see Notes.</t>
        </is>
      </c>
    </row>
    <row r="4">
      <c r="A4" s="3" t="inlineStr">
        <is>
          <t>Metric</t>
        </is>
      </c>
      <c r="B4" s="3" t="inlineStr">
        <is>
          <t>Depressed, N=3</t>
        </is>
      </c>
      <c r="C4" s="3" t="inlineStr">
        <is>
          <t>Recovery, N=3</t>
        </is>
      </c>
      <c r="D4" s="3" t="inlineStr">
        <is>
          <t>Depressed, N=5</t>
        </is>
      </c>
      <c r="E4" s="3" t="inlineStr">
        <is>
          <t>Recovery, N=5</t>
        </is>
      </c>
    </row>
    <row r="5">
      <c r="A5" t="inlineStr">
        <is>
          <t>Onset year (first year Gap &gt; 0)</t>
        </is>
      </c>
      <c r="B5">
        <f>IFERROR(INDEX(Calculations!$A$5:$A$23,MATCH(1,Calculations!$U$5:$U$23,0)),"no shortage in window")</f>
        <v/>
      </c>
      <c r="C5">
        <f>IFERROR(INDEX(Calculations!$A$5:$A$23,MATCH(1,Calculations!$V$5:$V$23,0)),"no shortage in window")</f>
        <v/>
      </c>
      <c r="D5">
        <f>IFERROR(INDEX(Calculations!$A$5:$A$23,MATCH(1,Calculations!$W$5:$W$23,0)),"no shortage in window")</f>
        <v/>
      </c>
      <c r="E5">
        <f>IFERROR(INDEX(Calculations!$A$5:$A$23,MATCH(1,Calculations!$X$5:$X$23,0)),"no shortage in window")</f>
        <v/>
      </c>
    </row>
    <row r="6">
      <c r="A6" t="inlineStr">
        <is>
          <t>Maximum gap</t>
        </is>
      </c>
      <c r="B6">
        <f>MAX(Calculations!$K$5:$K$23)</f>
        <v/>
      </c>
      <c r="C6">
        <f>MAX(Calculations!$L$5:$L$23)</f>
        <v/>
      </c>
      <c r="D6">
        <f>MAX(Calculations!$S$5:$S$23)</f>
        <v/>
      </c>
      <c r="E6">
        <f>MAX(Calculations!$T$5:$T$23)</f>
        <v/>
      </c>
    </row>
    <row r="7">
      <c r="A7" t="inlineStr">
        <is>
          <t>Year of maximum gap</t>
        </is>
      </c>
      <c r="B7">
        <f>INDEX(Calculations!$A$5:$A$23,MATCH(MAX(Calculations!$K$5:$K$23),Calculations!$K$5:$K$23,0))</f>
        <v/>
      </c>
      <c r="C7">
        <f>INDEX(Calculations!$A$5:$A$23,MATCH(MAX(Calculations!$L$5:$L$23),Calculations!$L$5:$L$23,0))</f>
        <v/>
      </c>
      <c r="D7">
        <f>INDEX(Calculations!$A$5:$A$23,MATCH(MAX(Calculations!$S$5:$S$23),Calculations!$S$5:$S$23,0))</f>
        <v/>
      </c>
      <c r="E7">
        <f>INDEX(Calculations!$A$5:$A$23,MATCH(MAX(Calculations!$T$5:$T$23),Calculations!$T$5:$T$23,0))</f>
        <v/>
      </c>
    </row>
    <row r="8">
      <c r="A8" t="inlineStr">
        <is>
          <t>Gap at end of window (2035)</t>
        </is>
      </c>
      <c r="B8">
        <f>INDEX(Calculations!$K$5:$K$23,19)</f>
        <v/>
      </c>
      <c r="C8">
        <f>INDEX(Calculations!$L$5:$L$23,19)</f>
        <v/>
      </c>
      <c r="D8">
        <f>INDEX(Calculations!$S$5:$S$23,19)</f>
        <v/>
      </c>
      <c r="E8">
        <f>INDEX(Calculations!$T$5:$T$23,19)</f>
        <v/>
      </c>
    </row>
    <row r="9">
      <c r="A9" t="inlineStr">
        <is>
          <t>Status at end of window</t>
        </is>
      </c>
      <c r="B9">
        <f>IF(B8&gt;0,"Persists through 2035","Closed by 2035")</f>
        <v/>
      </c>
      <c r="C9">
        <f>IF(C8&gt;0,"Persists through 2035","Closed by 2035")</f>
        <v/>
      </c>
      <c r="D9">
        <f>IF(D8&gt;0,"Persists through 2035","Closed by 2035")</f>
        <v/>
      </c>
      <c r="E9">
        <f>IF(E8&gt;0,"Persists through 2035","Closed by 2035")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70" customWidth="1" min="3" max="3"/>
  </cols>
  <sheetData>
    <row r="1">
      <c r="A1" s="1" t="inlineStr">
        <is>
          <t>Pipeline Projection — Inputs</t>
        </is>
      </c>
    </row>
    <row r="2">
      <c r="A2" s="3" t="inlineStr">
        <is>
          <t>Label</t>
        </is>
      </c>
      <c r="B2" s="3" t="inlineStr">
        <is>
          <t>Value</t>
        </is>
      </c>
      <c r="C2" s="3" t="inlineStr">
        <is>
          <t>Note</t>
        </is>
      </c>
    </row>
    <row r="3">
      <c r="A3" t="inlineStr">
        <is>
          <t>Base year (mid-level stock anchor)</t>
        </is>
      </c>
      <c r="B3" s="4" t="n">
        <v>2022</v>
      </c>
      <c r="C3" s="2" t="inlineStr">
        <is>
          <t>First year of the model. Mid-level stock in this year is the seed value below.</t>
        </is>
      </c>
    </row>
    <row r="4">
      <c r="A4" t="inlineStr">
        <is>
          <t>End year (last year modeled)</t>
        </is>
      </c>
      <c r="B4" s="4" t="n">
        <v>2035</v>
      </c>
      <c r="C4" s="2" t="inlineStr">
        <is>
          <t>Last year the projection runs through.</t>
        </is>
      </c>
    </row>
    <row r="5">
      <c r="A5" t="inlineStr">
        <is>
          <t>Baseline annual junior hires (pre-2022 trend)</t>
        </is>
      </c>
      <c r="B5" s="4" t="n">
        <v>20000</v>
      </c>
      <c r="C5" s="2" t="inlineStr">
        <is>
          <t>BLS Occupational Outlook Handbook, Graphic Designers (2024-2034 projections): ~20,000 average annual openings. Note: BLS "openings" bundles growth openings with replacement openings (anyone leaving the occupation, any career stage), not specifically junior hires.</t>
        </is>
      </c>
    </row>
    <row r="6">
      <c r="A6" t="inlineStr">
        <is>
          <t>Depressed hiring, % of baseline</t>
        </is>
      </c>
      <c r="B6" s="4" t="n">
        <v>0.855</v>
      </c>
      <c r="C6" s="2" t="inlineStr">
        <is>
          <t>Derived from Brynjolfsson, Chandar &amp; Chen (revised Aug 2026), Table 1 Panel A: AI-exposure Quintile 4 (Graphic Designers' quintile per Table A.5) shows a -14.5% employment coefficient for ages 22-25 vs. Quintile 1, in the paper's primary 2018-balanced sample. 0.855 = 1 - 0.145. Caveat: this is a regression coefficient on employment stock, not a literal hiring-rate reduction, though the paper's Fact 4 attributes the decline to reduced hiring rather than increased separations.</t>
        </is>
      </c>
    </row>
    <row r="7">
      <c r="A7" t="inlineStr">
        <is>
          <t>Recovery start year</t>
        </is>
      </c>
      <c r="B7" s="4" t="n">
        <v>2028</v>
      </c>
      <c r="C7" s="2" t="inlineStr">
        <is>
          <t>Matches the brief: junior hiring returns to its pre-2022 trend by this year, under the Recovery scenario.</t>
        </is>
      </c>
    </row>
    <row r="8">
      <c r="A8" t="inlineStr">
        <is>
          <t>Junior-to-mid-level transition rate</t>
        </is>
      </c>
      <c r="B8" s="4" t="n">
        <v>0.8</v>
      </c>
      <c r="C8" s="2" t="inlineStr">
        <is>
          <t>Jennifer's professional judgment: share of a hired cohort that survives to become mid-level after N years (distinct from attrition after that point). No occupation-specific source found.</t>
        </is>
      </c>
    </row>
    <row r="9">
      <c r="A9" t="inlineStr">
        <is>
          <t>Annual mid-level attrition rate</t>
        </is>
      </c>
      <c r="B9" s="4" t="n">
        <v>0.05</v>
      </c>
      <c r="C9" s="2" t="inlineStr">
        <is>
          <t>Jennifer's professional judgment: annual attrition rate applied to the mid-level stock, after each year's new cohort joins (per the agreed ordering). No occupation-specific source found.</t>
        </is>
      </c>
    </row>
    <row r="10">
      <c r="A10" t="inlineStr">
        <is>
          <t>Training lag — primary case (years)</t>
        </is>
      </c>
      <c r="B10" s="4" t="n">
        <v>3</v>
      </c>
      <c r="C10" s="2" t="inlineStr">
        <is>
          <t>Matches the brief's primary assumption, labeled as professional judgment.</t>
        </is>
      </c>
    </row>
    <row r="11">
      <c r="A11" t="inlineStr">
        <is>
          <t>Training lag — sensitivity case (years)</t>
        </is>
      </c>
      <c r="B11" s="4" t="n">
        <v>5</v>
      </c>
      <c r="C11" s="2" t="inlineStr">
        <is>
          <t>Matches the brief's sensitivity case.</t>
        </is>
      </c>
    </row>
    <row r="12">
      <c r="A12" t="inlineStr">
        <is>
          <t>Base-year mid-level stock (anchor)</t>
        </is>
      </c>
      <c r="B12" s="4" t="n">
        <v>98685</v>
      </c>
      <c r="C12" s="2" t="inlineStr">
        <is>
          <t>IPUMS CPS Basic Monthly, OCC 2634 (Graphic Designers), employed (EMPSTAT 10/12), age 26-35, 2022. Weighted headcount averaged across the 12 monthly samples (range 77,280-117,161; unweighted N=350 across the year, ~23-68/month). See prompt-log.md 2026-10-09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Pipeline Projection — Calculations</t>
        </is>
      </c>
    </row>
    <row r="2">
      <c r="A2" s="2" t="inlineStr">
        <is>
          <t>One row per modeled year. History before Base_Year exists only so the N-year-back lookups have something to reference; Graduates/MidSupply/Gap columns start at Base_Year.</t>
        </is>
      </c>
    </row>
    <row r="4">
      <c r="A4" s="3" t="inlineStr">
        <is>
          <t>Year</t>
        </is>
      </c>
      <c r="B4" s="3" t="inlineStr">
        <is>
          <t>Hire — Baseline</t>
        </is>
      </c>
      <c r="C4" s="3" t="inlineStr">
        <is>
          <t>Hire — Depressed</t>
        </is>
      </c>
      <c r="D4" s="3" t="inlineStr">
        <is>
          <t>Hire — Recovery</t>
        </is>
      </c>
      <c r="E4" s="3" t="inlineStr">
        <is>
          <t>Graduates — Baseline (N=3)</t>
        </is>
      </c>
      <c r="F4" s="3" t="inlineStr">
        <is>
          <t>Graduates — Depressed (N=3)</t>
        </is>
      </c>
      <c r="G4" s="3" t="inlineStr">
        <is>
          <t>Graduates — Recovery (N=3)</t>
        </is>
      </c>
      <c r="H4" s="3" t="inlineStr">
        <is>
          <t>MidSupply — Baseline (N=3)</t>
        </is>
      </c>
      <c r="I4" s="3" t="inlineStr">
        <is>
          <t>MidSupply — Depressed (N=3)</t>
        </is>
      </c>
      <c r="J4" s="3" t="inlineStr">
        <is>
          <t>MidSupply — Recovery (N=3)</t>
        </is>
      </c>
      <c r="K4" s="3" t="inlineStr">
        <is>
          <t>Gap — Depressed (N=3)</t>
        </is>
      </c>
      <c r="L4" s="3" t="inlineStr">
        <is>
          <t>Gap — Recovery (N=3)</t>
        </is>
      </c>
      <c r="M4" s="3" t="inlineStr">
        <is>
          <t>Graduates — Baseline (N=5)</t>
        </is>
      </c>
      <c r="N4" s="3" t="inlineStr">
        <is>
          <t>Graduates — Depressed (N=5)</t>
        </is>
      </c>
      <c r="O4" s="3" t="inlineStr">
        <is>
          <t>Graduates — Recovery (N=5)</t>
        </is>
      </c>
      <c r="P4" s="3" t="inlineStr">
        <is>
          <t>MidSupply — Baseline (N=5)</t>
        </is>
      </c>
      <c r="Q4" s="3" t="inlineStr">
        <is>
          <t>MidSupply — Depressed (N=5)</t>
        </is>
      </c>
      <c r="R4" s="3" t="inlineStr">
        <is>
          <t>MidSupply — Recovery (N=5)</t>
        </is>
      </c>
      <c r="S4" s="3" t="inlineStr">
        <is>
          <t>Gap — Depressed (N=5)</t>
        </is>
      </c>
      <c r="T4" s="3" t="inlineStr">
        <is>
          <t>Gap — Recovery (N=5)</t>
        </is>
      </c>
      <c r="U4" s="3" t="inlineStr">
        <is>
          <t>Shortage? Dep N=3</t>
        </is>
      </c>
      <c r="V4" s="3" t="inlineStr">
        <is>
          <t>Shortage? Rec N=3</t>
        </is>
      </c>
      <c r="W4" s="3" t="inlineStr">
        <is>
          <t>Shortage? Dep N=5</t>
        </is>
      </c>
      <c r="X4" s="3" t="inlineStr">
        <is>
          <t>Shortage? Rec N=5</t>
        </is>
      </c>
    </row>
    <row r="5">
      <c r="A5">
        <f>Base_Year-N_Sensitivity</f>
        <v/>
      </c>
      <c r="B5">
        <f>Baseline_Annual_Hires</f>
        <v/>
      </c>
      <c r="C5">
        <f>IF($A5&gt;=Base_Year+1,Baseline_Annual_Hires*Depressed_Hiring_Pct,Baseline_Annual_Hires)</f>
        <v/>
      </c>
      <c r="D5">
        <f>IF($A5&gt;=Base_Year+1,IF($A5&lt;Recovery_Start_Year,Baseline_Annual_Hires*Depressed_Hiring_Pct,Baseline_Annual_Hires),Baseline_Annual_Hires)</f>
        <v/>
      </c>
    </row>
    <row r="6">
      <c r="A6">
        <f>A5+1</f>
        <v/>
      </c>
      <c r="B6">
        <f>Baseline_Annual_Hires</f>
        <v/>
      </c>
      <c r="C6">
        <f>IF($A6&gt;=Base_Year+1,Baseline_Annual_Hires*Depressed_Hiring_Pct,Baseline_Annual_Hires)</f>
        <v/>
      </c>
      <c r="D6">
        <f>IF($A6&gt;=Base_Year+1,IF($A6&lt;Recovery_Start_Year,Baseline_Annual_Hires*Depressed_Hiring_Pct,Baseline_Annual_Hires),Baseline_Annual_Hires)</f>
        <v/>
      </c>
    </row>
    <row r="7">
      <c r="A7">
        <f>A6+1</f>
        <v/>
      </c>
      <c r="B7">
        <f>Baseline_Annual_Hires</f>
        <v/>
      </c>
      <c r="C7">
        <f>IF($A7&gt;=Base_Year+1,Baseline_Annual_Hires*Depressed_Hiring_Pct,Baseline_Annual_Hires)</f>
        <v/>
      </c>
      <c r="D7">
        <f>IF($A7&gt;=Base_Year+1,IF($A7&lt;Recovery_Start_Year,Baseline_Annual_Hires*Depressed_Hiring_Pct,Baseline_Annual_Hires),Baseline_Annual_Hires)</f>
        <v/>
      </c>
    </row>
    <row r="8">
      <c r="A8">
        <f>A7+1</f>
        <v/>
      </c>
      <c r="B8">
        <f>Baseline_Annual_Hires</f>
        <v/>
      </c>
      <c r="C8">
        <f>IF($A8&gt;=Base_Year+1,Baseline_Annual_Hires*Depressed_Hiring_Pct,Baseline_Annual_Hires)</f>
        <v/>
      </c>
      <c r="D8">
        <f>IF($A8&gt;=Base_Year+1,IF($A8&lt;Recovery_Start_Year,Baseline_Annual_Hires*Depressed_Hiring_Pct,Baseline_Annual_Hires),Baseline_Annual_Hires)</f>
        <v/>
      </c>
    </row>
    <row r="9">
      <c r="A9">
        <f>A8+1</f>
        <v/>
      </c>
      <c r="B9">
        <f>Baseline_Annual_Hires</f>
        <v/>
      </c>
      <c r="C9">
        <f>IF($A9&gt;=Base_Year+1,Baseline_Annual_Hires*Depressed_Hiring_Pct,Baseline_Annual_Hires)</f>
        <v/>
      </c>
      <c r="D9">
        <f>IF($A9&gt;=Base_Year+1,IF($A9&lt;Recovery_Start_Year,Baseline_Annual_Hires*Depressed_Hiring_Pct,Baseline_Annual_Hires),Baseline_Annual_Hires)</f>
        <v/>
      </c>
    </row>
    <row r="10">
      <c r="A10">
        <f>A9+1</f>
        <v/>
      </c>
      <c r="B10">
        <f>Baseline_Annual_Hires</f>
        <v/>
      </c>
      <c r="C10">
        <f>IF($A10&gt;=Base_Year+1,Baseline_Annual_Hires*Depressed_Hiring_Pct,Baseline_Annual_Hires)</f>
        <v/>
      </c>
      <c r="D10">
        <f>IF($A10&gt;=Base_Year+1,IF($A10&lt;Recovery_Start_Year,Baseline_Annual_Hires*Depressed_Hiring_Pct,Baseline_Annual_Hires),Baseline_Annual_Hires)</f>
        <v/>
      </c>
      <c r="H10">
        <f>Base_MidLevel_Stock</f>
        <v/>
      </c>
      <c r="I10">
        <f>Base_MidLevel_Stock</f>
        <v/>
      </c>
      <c r="J10">
        <f>Base_MidLevel_Stock</f>
        <v/>
      </c>
      <c r="K10">
        <f>H10-I10</f>
        <v/>
      </c>
      <c r="L10">
        <f>H10-J10</f>
        <v/>
      </c>
      <c r="P10">
        <f>Base_MidLevel_Stock</f>
        <v/>
      </c>
      <c r="Q10">
        <f>Base_MidLevel_Stock</f>
        <v/>
      </c>
      <c r="R10">
        <f>Base_MidLevel_Stock</f>
        <v/>
      </c>
      <c r="S10">
        <f>P10-Q10</f>
        <v/>
      </c>
      <c r="T10">
        <f>P10-R10</f>
        <v/>
      </c>
      <c r="U10">
        <f>IF(K10&gt;0,1,0)</f>
        <v/>
      </c>
      <c r="V10">
        <f>IF(L10&gt;0,1,0)</f>
        <v/>
      </c>
      <c r="W10">
        <f>IF(S10&gt;0,1,0)</f>
        <v/>
      </c>
      <c r="X10">
        <f>IF(T10&gt;0,1,0)</f>
        <v/>
      </c>
    </row>
    <row r="11">
      <c r="A11">
        <f>A10+1</f>
        <v/>
      </c>
      <c r="B11">
        <f>Baseline_Annual_Hires</f>
        <v/>
      </c>
      <c r="C11">
        <f>IF($A11&gt;=Base_Year+1,Baseline_Annual_Hires*Depressed_Hiring_Pct,Baseline_Annual_Hires)</f>
        <v/>
      </c>
      <c r="D11">
        <f>IF($A11&gt;=Base_Year+1,IF($A11&lt;Recovery_Start_Year,Baseline_Annual_Hires*Depressed_Hiring_Pct,Baseline_Annual_Hires),Baseline_Annual_Hires)</f>
        <v/>
      </c>
      <c r="E11">
        <f>INDEX(B$5:B$23,MATCH($A11-N_Primary,A$5:A$23,0))*Transition_Rate</f>
        <v/>
      </c>
      <c r="F11">
        <f>INDEX(C$5:C$23,MATCH($A11-N_Primary,A$5:A$23,0))*Transition_Rate</f>
        <v/>
      </c>
      <c r="G11">
        <f>INDEX(D$5:D$23,MATCH($A11-N_Primary,A$5:A$23,0))*Transition_Rate</f>
        <v/>
      </c>
      <c r="H11">
        <f>(H10+E11)*(1-Attrition_Rate)</f>
        <v/>
      </c>
      <c r="I11">
        <f>(I10+F11)*(1-Attrition_Rate)</f>
        <v/>
      </c>
      <c r="J11">
        <f>(J10+G11)*(1-Attrition_Rate)</f>
        <v/>
      </c>
      <c r="K11">
        <f>H11-I11</f>
        <v/>
      </c>
      <c r="L11">
        <f>H11-J11</f>
        <v/>
      </c>
      <c r="M11">
        <f>INDEX(B$5:B$23,MATCH($A11-N_Sensitivity,A$5:A$23,0))*Transition_Rate</f>
        <v/>
      </c>
      <c r="N11">
        <f>INDEX(C$5:C$23,MATCH($A11-N_Sensitivity,A$5:A$23,0))*Transition_Rate</f>
        <v/>
      </c>
      <c r="O11">
        <f>INDEX(D$5:D$23,MATCH($A11-N_Sensitivity,A$5:A$23,0))*Transition_Rate</f>
        <v/>
      </c>
      <c r="P11">
        <f>(P10+M11)*(1-Attrition_Rate)</f>
        <v/>
      </c>
      <c r="Q11">
        <f>(Q10+N11)*(1-Attrition_Rate)</f>
        <v/>
      </c>
      <c r="R11">
        <f>(R10+O11)*(1-Attrition_Rate)</f>
        <v/>
      </c>
      <c r="S11">
        <f>P11-Q11</f>
        <v/>
      </c>
      <c r="T11">
        <f>P11-R11</f>
        <v/>
      </c>
      <c r="U11">
        <f>IF(K11&gt;0,1,0)</f>
        <v/>
      </c>
      <c r="V11">
        <f>IF(L11&gt;0,1,0)</f>
        <v/>
      </c>
      <c r="W11">
        <f>IF(S11&gt;0,1,0)</f>
        <v/>
      </c>
      <c r="X11">
        <f>IF(T11&gt;0,1,0)</f>
        <v/>
      </c>
    </row>
    <row r="12">
      <c r="A12">
        <f>A11+1</f>
        <v/>
      </c>
      <c r="B12">
        <f>Baseline_Annual_Hires</f>
        <v/>
      </c>
      <c r="C12">
        <f>IF($A12&gt;=Base_Year+1,Baseline_Annual_Hires*Depressed_Hiring_Pct,Baseline_Annual_Hires)</f>
        <v/>
      </c>
      <c r="D12">
        <f>IF($A12&gt;=Base_Year+1,IF($A12&lt;Recovery_Start_Year,Baseline_Annual_Hires*Depressed_Hiring_Pct,Baseline_Annual_Hires),Baseline_Annual_Hires)</f>
        <v/>
      </c>
      <c r="E12">
        <f>INDEX(B$5:B$23,MATCH($A12-N_Primary,A$5:A$23,0))*Transition_Rate</f>
        <v/>
      </c>
      <c r="F12">
        <f>INDEX(C$5:C$23,MATCH($A12-N_Primary,A$5:A$23,0))*Transition_Rate</f>
        <v/>
      </c>
      <c r="G12">
        <f>INDEX(D$5:D$23,MATCH($A12-N_Primary,A$5:A$23,0))*Transition_Rate</f>
        <v/>
      </c>
      <c r="H12">
        <f>(H11+E12)*(1-Attrition_Rate)</f>
        <v/>
      </c>
      <c r="I12">
        <f>(I11+F12)*(1-Attrition_Rate)</f>
        <v/>
      </c>
      <c r="J12">
        <f>(J11+G12)*(1-Attrition_Rate)</f>
        <v/>
      </c>
      <c r="K12">
        <f>H12-I12</f>
        <v/>
      </c>
      <c r="L12">
        <f>H12-J12</f>
        <v/>
      </c>
      <c r="M12">
        <f>INDEX(B$5:B$23,MATCH($A12-N_Sensitivity,A$5:A$23,0))*Transition_Rate</f>
        <v/>
      </c>
      <c r="N12">
        <f>INDEX(C$5:C$23,MATCH($A12-N_Sensitivity,A$5:A$23,0))*Transition_Rate</f>
        <v/>
      </c>
      <c r="O12">
        <f>INDEX(D$5:D$23,MATCH($A12-N_Sensitivity,A$5:A$23,0))*Transition_Rate</f>
        <v/>
      </c>
      <c r="P12">
        <f>(P11+M12)*(1-Attrition_Rate)</f>
        <v/>
      </c>
      <c r="Q12">
        <f>(Q11+N12)*(1-Attrition_Rate)</f>
        <v/>
      </c>
      <c r="R12">
        <f>(R11+O12)*(1-Attrition_Rate)</f>
        <v/>
      </c>
      <c r="S12">
        <f>P12-Q12</f>
        <v/>
      </c>
      <c r="T12">
        <f>P12-R12</f>
        <v/>
      </c>
      <c r="U12">
        <f>IF(K12&gt;0,1,0)</f>
        <v/>
      </c>
      <c r="V12">
        <f>IF(L12&gt;0,1,0)</f>
        <v/>
      </c>
      <c r="W12">
        <f>IF(S12&gt;0,1,0)</f>
        <v/>
      </c>
      <c r="X12">
        <f>IF(T12&gt;0,1,0)</f>
        <v/>
      </c>
    </row>
    <row r="13">
      <c r="A13">
        <f>A12+1</f>
        <v/>
      </c>
      <c r="B13">
        <f>Baseline_Annual_Hires</f>
        <v/>
      </c>
      <c r="C13">
        <f>IF($A13&gt;=Base_Year+1,Baseline_Annual_Hires*Depressed_Hiring_Pct,Baseline_Annual_Hires)</f>
        <v/>
      </c>
      <c r="D13">
        <f>IF($A13&gt;=Base_Year+1,IF($A13&lt;Recovery_Start_Year,Baseline_Annual_Hires*Depressed_Hiring_Pct,Baseline_Annual_Hires),Baseline_Annual_Hires)</f>
        <v/>
      </c>
      <c r="E13">
        <f>INDEX(B$5:B$23,MATCH($A13-N_Primary,A$5:A$23,0))*Transition_Rate</f>
        <v/>
      </c>
      <c r="F13">
        <f>INDEX(C$5:C$23,MATCH($A13-N_Primary,A$5:A$23,0))*Transition_Rate</f>
        <v/>
      </c>
      <c r="G13">
        <f>INDEX(D$5:D$23,MATCH($A13-N_Primary,A$5:A$23,0))*Transition_Rate</f>
        <v/>
      </c>
      <c r="H13">
        <f>(H12+E13)*(1-Attrition_Rate)</f>
        <v/>
      </c>
      <c r="I13">
        <f>(I12+F13)*(1-Attrition_Rate)</f>
        <v/>
      </c>
      <c r="J13">
        <f>(J12+G13)*(1-Attrition_Rate)</f>
        <v/>
      </c>
      <c r="K13">
        <f>H13-I13</f>
        <v/>
      </c>
      <c r="L13">
        <f>H13-J13</f>
        <v/>
      </c>
      <c r="M13">
        <f>INDEX(B$5:B$23,MATCH($A13-N_Sensitivity,A$5:A$23,0))*Transition_Rate</f>
        <v/>
      </c>
      <c r="N13">
        <f>INDEX(C$5:C$23,MATCH($A13-N_Sensitivity,A$5:A$23,0))*Transition_Rate</f>
        <v/>
      </c>
      <c r="O13">
        <f>INDEX(D$5:D$23,MATCH($A13-N_Sensitivity,A$5:A$23,0))*Transition_Rate</f>
        <v/>
      </c>
      <c r="P13">
        <f>(P12+M13)*(1-Attrition_Rate)</f>
        <v/>
      </c>
      <c r="Q13">
        <f>(Q12+N13)*(1-Attrition_Rate)</f>
        <v/>
      </c>
      <c r="R13">
        <f>(R12+O13)*(1-Attrition_Rate)</f>
        <v/>
      </c>
      <c r="S13">
        <f>P13-Q13</f>
        <v/>
      </c>
      <c r="T13">
        <f>P13-R13</f>
        <v/>
      </c>
      <c r="U13">
        <f>IF(K13&gt;0,1,0)</f>
        <v/>
      </c>
      <c r="V13">
        <f>IF(L13&gt;0,1,0)</f>
        <v/>
      </c>
      <c r="W13">
        <f>IF(S13&gt;0,1,0)</f>
        <v/>
      </c>
      <c r="X13">
        <f>IF(T13&gt;0,1,0)</f>
        <v/>
      </c>
    </row>
    <row r="14">
      <c r="A14">
        <f>A13+1</f>
        <v/>
      </c>
      <c r="B14">
        <f>Baseline_Annual_Hires</f>
        <v/>
      </c>
      <c r="C14">
        <f>IF($A14&gt;=Base_Year+1,Baseline_Annual_Hires*Depressed_Hiring_Pct,Baseline_Annual_Hires)</f>
        <v/>
      </c>
      <c r="D14">
        <f>IF($A14&gt;=Base_Year+1,IF($A14&lt;Recovery_Start_Year,Baseline_Annual_Hires*Depressed_Hiring_Pct,Baseline_Annual_Hires),Baseline_Annual_Hires)</f>
        <v/>
      </c>
      <c r="E14">
        <f>INDEX(B$5:B$23,MATCH($A14-N_Primary,A$5:A$23,0))*Transition_Rate</f>
        <v/>
      </c>
      <c r="F14">
        <f>INDEX(C$5:C$23,MATCH($A14-N_Primary,A$5:A$23,0))*Transition_Rate</f>
        <v/>
      </c>
      <c r="G14">
        <f>INDEX(D$5:D$23,MATCH($A14-N_Primary,A$5:A$23,0))*Transition_Rate</f>
        <v/>
      </c>
      <c r="H14">
        <f>(H13+E14)*(1-Attrition_Rate)</f>
        <v/>
      </c>
      <c r="I14">
        <f>(I13+F14)*(1-Attrition_Rate)</f>
        <v/>
      </c>
      <c r="J14">
        <f>(J13+G14)*(1-Attrition_Rate)</f>
        <v/>
      </c>
      <c r="K14">
        <f>H14-I14</f>
        <v/>
      </c>
      <c r="L14">
        <f>H14-J14</f>
        <v/>
      </c>
      <c r="M14">
        <f>INDEX(B$5:B$23,MATCH($A14-N_Sensitivity,A$5:A$23,0))*Transition_Rate</f>
        <v/>
      </c>
      <c r="N14">
        <f>INDEX(C$5:C$23,MATCH($A14-N_Sensitivity,A$5:A$23,0))*Transition_Rate</f>
        <v/>
      </c>
      <c r="O14">
        <f>INDEX(D$5:D$23,MATCH($A14-N_Sensitivity,A$5:A$23,0))*Transition_Rate</f>
        <v/>
      </c>
      <c r="P14">
        <f>(P13+M14)*(1-Attrition_Rate)</f>
        <v/>
      </c>
      <c r="Q14">
        <f>(Q13+N14)*(1-Attrition_Rate)</f>
        <v/>
      </c>
      <c r="R14">
        <f>(R13+O14)*(1-Attrition_Rate)</f>
        <v/>
      </c>
      <c r="S14">
        <f>P14-Q14</f>
        <v/>
      </c>
      <c r="T14">
        <f>P14-R14</f>
        <v/>
      </c>
      <c r="U14">
        <f>IF(K14&gt;0,1,0)</f>
        <v/>
      </c>
      <c r="V14">
        <f>IF(L14&gt;0,1,0)</f>
        <v/>
      </c>
      <c r="W14">
        <f>IF(S14&gt;0,1,0)</f>
        <v/>
      </c>
      <c r="X14">
        <f>IF(T14&gt;0,1,0)</f>
        <v/>
      </c>
    </row>
    <row r="15">
      <c r="A15">
        <f>A14+1</f>
        <v/>
      </c>
      <c r="B15">
        <f>Baseline_Annual_Hires</f>
        <v/>
      </c>
      <c r="C15">
        <f>IF($A15&gt;=Base_Year+1,Baseline_Annual_Hires*Depressed_Hiring_Pct,Baseline_Annual_Hires)</f>
        <v/>
      </c>
      <c r="D15">
        <f>IF($A15&gt;=Base_Year+1,IF($A15&lt;Recovery_Start_Year,Baseline_Annual_Hires*Depressed_Hiring_Pct,Baseline_Annual_Hires),Baseline_Annual_Hires)</f>
        <v/>
      </c>
      <c r="E15">
        <f>INDEX(B$5:B$23,MATCH($A15-N_Primary,A$5:A$23,0))*Transition_Rate</f>
        <v/>
      </c>
      <c r="F15">
        <f>INDEX(C$5:C$23,MATCH($A15-N_Primary,A$5:A$23,0))*Transition_Rate</f>
        <v/>
      </c>
      <c r="G15">
        <f>INDEX(D$5:D$23,MATCH($A15-N_Primary,A$5:A$23,0))*Transition_Rate</f>
        <v/>
      </c>
      <c r="H15">
        <f>(H14+E15)*(1-Attrition_Rate)</f>
        <v/>
      </c>
      <c r="I15">
        <f>(I14+F15)*(1-Attrition_Rate)</f>
        <v/>
      </c>
      <c r="J15">
        <f>(J14+G15)*(1-Attrition_Rate)</f>
        <v/>
      </c>
      <c r="K15">
        <f>H15-I15</f>
        <v/>
      </c>
      <c r="L15">
        <f>H15-J15</f>
        <v/>
      </c>
      <c r="M15">
        <f>INDEX(B$5:B$23,MATCH($A15-N_Sensitivity,A$5:A$23,0))*Transition_Rate</f>
        <v/>
      </c>
      <c r="N15">
        <f>INDEX(C$5:C$23,MATCH($A15-N_Sensitivity,A$5:A$23,0))*Transition_Rate</f>
        <v/>
      </c>
      <c r="O15">
        <f>INDEX(D$5:D$23,MATCH($A15-N_Sensitivity,A$5:A$23,0))*Transition_Rate</f>
        <v/>
      </c>
      <c r="P15">
        <f>(P14+M15)*(1-Attrition_Rate)</f>
        <v/>
      </c>
      <c r="Q15">
        <f>(Q14+N15)*(1-Attrition_Rate)</f>
        <v/>
      </c>
      <c r="R15">
        <f>(R14+O15)*(1-Attrition_Rate)</f>
        <v/>
      </c>
      <c r="S15">
        <f>P15-Q15</f>
        <v/>
      </c>
      <c r="T15">
        <f>P15-R15</f>
        <v/>
      </c>
      <c r="U15">
        <f>IF(K15&gt;0,1,0)</f>
        <v/>
      </c>
      <c r="V15">
        <f>IF(L15&gt;0,1,0)</f>
        <v/>
      </c>
      <c r="W15">
        <f>IF(S15&gt;0,1,0)</f>
        <v/>
      </c>
      <c r="X15">
        <f>IF(T15&gt;0,1,0)</f>
        <v/>
      </c>
    </row>
    <row r="16">
      <c r="A16">
        <f>A15+1</f>
        <v/>
      </c>
      <c r="B16">
        <f>Baseline_Annual_Hires</f>
        <v/>
      </c>
      <c r="C16">
        <f>IF($A16&gt;=Base_Year+1,Baseline_Annual_Hires*Depressed_Hiring_Pct,Baseline_Annual_Hires)</f>
        <v/>
      </c>
      <c r="D16">
        <f>IF($A16&gt;=Base_Year+1,IF($A16&lt;Recovery_Start_Year,Baseline_Annual_Hires*Depressed_Hiring_Pct,Baseline_Annual_Hires),Baseline_Annual_Hires)</f>
        <v/>
      </c>
      <c r="E16">
        <f>INDEX(B$5:B$23,MATCH($A16-N_Primary,A$5:A$23,0))*Transition_Rate</f>
        <v/>
      </c>
      <c r="F16">
        <f>INDEX(C$5:C$23,MATCH($A16-N_Primary,A$5:A$23,0))*Transition_Rate</f>
        <v/>
      </c>
      <c r="G16">
        <f>INDEX(D$5:D$23,MATCH($A16-N_Primary,A$5:A$23,0))*Transition_Rate</f>
        <v/>
      </c>
      <c r="H16">
        <f>(H15+E16)*(1-Attrition_Rate)</f>
        <v/>
      </c>
      <c r="I16">
        <f>(I15+F16)*(1-Attrition_Rate)</f>
        <v/>
      </c>
      <c r="J16">
        <f>(J15+G16)*(1-Attrition_Rate)</f>
        <v/>
      </c>
      <c r="K16">
        <f>H16-I16</f>
        <v/>
      </c>
      <c r="L16">
        <f>H16-J16</f>
        <v/>
      </c>
      <c r="M16">
        <f>INDEX(B$5:B$23,MATCH($A16-N_Sensitivity,A$5:A$23,0))*Transition_Rate</f>
        <v/>
      </c>
      <c r="N16">
        <f>INDEX(C$5:C$23,MATCH($A16-N_Sensitivity,A$5:A$23,0))*Transition_Rate</f>
        <v/>
      </c>
      <c r="O16">
        <f>INDEX(D$5:D$23,MATCH($A16-N_Sensitivity,A$5:A$23,0))*Transition_Rate</f>
        <v/>
      </c>
      <c r="P16">
        <f>(P15+M16)*(1-Attrition_Rate)</f>
        <v/>
      </c>
      <c r="Q16">
        <f>(Q15+N16)*(1-Attrition_Rate)</f>
        <v/>
      </c>
      <c r="R16">
        <f>(R15+O16)*(1-Attrition_Rate)</f>
        <v/>
      </c>
      <c r="S16">
        <f>P16-Q16</f>
        <v/>
      </c>
      <c r="T16">
        <f>P16-R16</f>
        <v/>
      </c>
      <c r="U16">
        <f>IF(K16&gt;0,1,0)</f>
        <v/>
      </c>
      <c r="V16">
        <f>IF(L16&gt;0,1,0)</f>
        <v/>
      </c>
      <c r="W16">
        <f>IF(S16&gt;0,1,0)</f>
        <v/>
      </c>
      <c r="X16">
        <f>IF(T16&gt;0,1,0)</f>
        <v/>
      </c>
    </row>
    <row r="17">
      <c r="A17">
        <f>A16+1</f>
        <v/>
      </c>
      <c r="B17">
        <f>Baseline_Annual_Hires</f>
        <v/>
      </c>
      <c r="C17">
        <f>IF($A17&gt;=Base_Year+1,Baseline_Annual_Hires*Depressed_Hiring_Pct,Baseline_Annual_Hires)</f>
        <v/>
      </c>
      <c r="D17">
        <f>IF($A17&gt;=Base_Year+1,IF($A17&lt;Recovery_Start_Year,Baseline_Annual_Hires*Depressed_Hiring_Pct,Baseline_Annual_Hires),Baseline_Annual_Hires)</f>
        <v/>
      </c>
      <c r="E17">
        <f>INDEX(B$5:B$23,MATCH($A17-N_Primary,A$5:A$23,0))*Transition_Rate</f>
        <v/>
      </c>
      <c r="F17">
        <f>INDEX(C$5:C$23,MATCH($A17-N_Primary,A$5:A$23,0))*Transition_Rate</f>
        <v/>
      </c>
      <c r="G17">
        <f>INDEX(D$5:D$23,MATCH($A17-N_Primary,A$5:A$23,0))*Transition_Rate</f>
        <v/>
      </c>
      <c r="H17">
        <f>(H16+E17)*(1-Attrition_Rate)</f>
        <v/>
      </c>
      <c r="I17">
        <f>(I16+F17)*(1-Attrition_Rate)</f>
        <v/>
      </c>
      <c r="J17">
        <f>(J16+G17)*(1-Attrition_Rate)</f>
        <v/>
      </c>
      <c r="K17">
        <f>H17-I17</f>
        <v/>
      </c>
      <c r="L17">
        <f>H17-J17</f>
        <v/>
      </c>
      <c r="M17">
        <f>INDEX(B$5:B$23,MATCH($A17-N_Sensitivity,A$5:A$23,0))*Transition_Rate</f>
        <v/>
      </c>
      <c r="N17">
        <f>INDEX(C$5:C$23,MATCH($A17-N_Sensitivity,A$5:A$23,0))*Transition_Rate</f>
        <v/>
      </c>
      <c r="O17">
        <f>INDEX(D$5:D$23,MATCH($A17-N_Sensitivity,A$5:A$23,0))*Transition_Rate</f>
        <v/>
      </c>
      <c r="P17">
        <f>(P16+M17)*(1-Attrition_Rate)</f>
        <v/>
      </c>
      <c r="Q17">
        <f>(Q16+N17)*(1-Attrition_Rate)</f>
        <v/>
      </c>
      <c r="R17">
        <f>(R16+O17)*(1-Attrition_Rate)</f>
        <v/>
      </c>
      <c r="S17">
        <f>P17-Q17</f>
        <v/>
      </c>
      <c r="T17">
        <f>P17-R17</f>
        <v/>
      </c>
      <c r="U17">
        <f>IF(K17&gt;0,1,0)</f>
        <v/>
      </c>
      <c r="V17">
        <f>IF(L17&gt;0,1,0)</f>
        <v/>
      </c>
      <c r="W17">
        <f>IF(S17&gt;0,1,0)</f>
        <v/>
      </c>
      <c r="X17">
        <f>IF(T17&gt;0,1,0)</f>
        <v/>
      </c>
    </row>
    <row r="18">
      <c r="A18">
        <f>A17+1</f>
        <v/>
      </c>
      <c r="B18">
        <f>Baseline_Annual_Hires</f>
        <v/>
      </c>
      <c r="C18">
        <f>IF($A18&gt;=Base_Year+1,Baseline_Annual_Hires*Depressed_Hiring_Pct,Baseline_Annual_Hires)</f>
        <v/>
      </c>
      <c r="D18">
        <f>IF($A18&gt;=Base_Year+1,IF($A18&lt;Recovery_Start_Year,Baseline_Annual_Hires*Depressed_Hiring_Pct,Baseline_Annual_Hires),Baseline_Annual_Hires)</f>
        <v/>
      </c>
      <c r="E18">
        <f>INDEX(B$5:B$23,MATCH($A18-N_Primary,A$5:A$23,0))*Transition_Rate</f>
        <v/>
      </c>
      <c r="F18">
        <f>INDEX(C$5:C$23,MATCH($A18-N_Primary,A$5:A$23,0))*Transition_Rate</f>
        <v/>
      </c>
      <c r="G18">
        <f>INDEX(D$5:D$23,MATCH($A18-N_Primary,A$5:A$23,0))*Transition_Rate</f>
        <v/>
      </c>
      <c r="H18">
        <f>(H17+E18)*(1-Attrition_Rate)</f>
        <v/>
      </c>
      <c r="I18">
        <f>(I17+F18)*(1-Attrition_Rate)</f>
        <v/>
      </c>
      <c r="J18">
        <f>(J17+G18)*(1-Attrition_Rate)</f>
        <v/>
      </c>
      <c r="K18">
        <f>H18-I18</f>
        <v/>
      </c>
      <c r="L18">
        <f>H18-J18</f>
        <v/>
      </c>
      <c r="M18">
        <f>INDEX(B$5:B$23,MATCH($A18-N_Sensitivity,A$5:A$23,0))*Transition_Rate</f>
        <v/>
      </c>
      <c r="N18">
        <f>INDEX(C$5:C$23,MATCH($A18-N_Sensitivity,A$5:A$23,0))*Transition_Rate</f>
        <v/>
      </c>
      <c r="O18">
        <f>INDEX(D$5:D$23,MATCH($A18-N_Sensitivity,A$5:A$23,0))*Transition_Rate</f>
        <v/>
      </c>
      <c r="P18">
        <f>(P17+M18)*(1-Attrition_Rate)</f>
        <v/>
      </c>
      <c r="Q18">
        <f>(Q17+N18)*(1-Attrition_Rate)</f>
        <v/>
      </c>
      <c r="R18">
        <f>(R17+O18)*(1-Attrition_Rate)</f>
        <v/>
      </c>
      <c r="S18">
        <f>P18-Q18</f>
        <v/>
      </c>
      <c r="T18">
        <f>P18-R18</f>
        <v/>
      </c>
      <c r="U18">
        <f>IF(K18&gt;0,1,0)</f>
        <v/>
      </c>
      <c r="V18">
        <f>IF(L18&gt;0,1,0)</f>
        <v/>
      </c>
      <c r="W18">
        <f>IF(S18&gt;0,1,0)</f>
        <v/>
      </c>
      <c r="X18">
        <f>IF(T18&gt;0,1,0)</f>
        <v/>
      </c>
    </row>
    <row r="19">
      <c r="A19">
        <f>A18+1</f>
        <v/>
      </c>
      <c r="B19">
        <f>Baseline_Annual_Hires</f>
        <v/>
      </c>
      <c r="C19">
        <f>IF($A19&gt;=Base_Year+1,Baseline_Annual_Hires*Depressed_Hiring_Pct,Baseline_Annual_Hires)</f>
        <v/>
      </c>
      <c r="D19">
        <f>IF($A19&gt;=Base_Year+1,IF($A19&lt;Recovery_Start_Year,Baseline_Annual_Hires*Depressed_Hiring_Pct,Baseline_Annual_Hires),Baseline_Annual_Hires)</f>
        <v/>
      </c>
      <c r="E19">
        <f>INDEX(B$5:B$23,MATCH($A19-N_Primary,A$5:A$23,0))*Transition_Rate</f>
        <v/>
      </c>
      <c r="F19">
        <f>INDEX(C$5:C$23,MATCH($A19-N_Primary,A$5:A$23,0))*Transition_Rate</f>
        <v/>
      </c>
      <c r="G19">
        <f>INDEX(D$5:D$23,MATCH($A19-N_Primary,A$5:A$23,0))*Transition_Rate</f>
        <v/>
      </c>
      <c r="H19">
        <f>(H18+E19)*(1-Attrition_Rate)</f>
        <v/>
      </c>
      <c r="I19">
        <f>(I18+F19)*(1-Attrition_Rate)</f>
        <v/>
      </c>
      <c r="J19">
        <f>(J18+G19)*(1-Attrition_Rate)</f>
        <v/>
      </c>
      <c r="K19">
        <f>H19-I19</f>
        <v/>
      </c>
      <c r="L19">
        <f>H19-J19</f>
        <v/>
      </c>
      <c r="M19">
        <f>INDEX(B$5:B$23,MATCH($A19-N_Sensitivity,A$5:A$23,0))*Transition_Rate</f>
        <v/>
      </c>
      <c r="N19">
        <f>INDEX(C$5:C$23,MATCH($A19-N_Sensitivity,A$5:A$23,0))*Transition_Rate</f>
        <v/>
      </c>
      <c r="O19">
        <f>INDEX(D$5:D$23,MATCH($A19-N_Sensitivity,A$5:A$23,0))*Transition_Rate</f>
        <v/>
      </c>
      <c r="P19">
        <f>(P18+M19)*(1-Attrition_Rate)</f>
        <v/>
      </c>
      <c r="Q19">
        <f>(Q18+N19)*(1-Attrition_Rate)</f>
        <v/>
      </c>
      <c r="R19">
        <f>(R18+O19)*(1-Attrition_Rate)</f>
        <v/>
      </c>
      <c r="S19">
        <f>P19-Q19</f>
        <v/>
      </c>
      <c r="T19">
        <f>P19-R19</f>
        <v/>
      </c>
      <c r="U19">
        <f>IF(K19&gt;0,1,0)</f>
        <v/>
      </c>
      <c r="V19">
        <f>IF(L19&gt;0,1,0)</f>
        <v/>
      </c>
      <c r="W19">
        <f>IF(S19&gt;0,1,0)</f>
        <v/>
      </c>
      <c r="X19">
        <f>IF(T19&gt;0,1,0)</f>
        <v/>
      </c>
    </row>
    <row r="20">
      <c r="A20">
        <f>A19+1</f>
        <v/>
      </c>
      <c r="B20">
        <f>Baseline_Annual_Hires</f>
        <v/>
      </c>
      <c r="C20">
        <f>IF($A20&gt;=Base_Year+1,Baseline_Annual_Hires*Depressed_Hiring_Pct,Baseline_Annual_Hires)</f>
        <v/>
      </c>
      <c r="D20">
        <f>IF($A20&gt;=Base_Year+1,IF($A20&lt;Recovery_Start_Year,Baseline_Annual_Hires*Depressed_Hiring_Pct,Baseline_Annual_Hires),Baseline_Annual_Hires)</f>
        <v/>
      </c>
      <c r="E20">
        <f>INDEX(B$5:B$23,MATCH($A20-N_Primary,A$5:A$23,0))*Transition_Rate</f>
        <v/>
      </c>
      <c r="F20">
        <f>INDEX(C$5:C$23,MATCH($A20-N_Primary,A$5:A$23,0))*Transition_Rate</f>
        <v/>
      </c>
      <c r="G20">
        <f>INDEX(D$5:D$23,MATCH($A20-N_Primary,A$5:A$23,0))*Transition_Rate</f>
        <v/>
      </c>
      <c r="H20">
        <f>(H19+E20)*(1-Attrition_Rate)</f>
        <v/>
      </c>
      <c r="I20">
        <f>(I19+F20)*(1-Attrition_Rate)</f>
        <v/>
      </c>
      <c r="J20">
        <f>(J19+G20)*(1-Attrition_Rate)</f>
        <v/>
      </c>
      <c r="K20">
        <f>H20-I20</f>
        <v/>
      </c>
      <c r="L20">
        <f>H20-J20</f>
        <v/>
      </c>
      <c r="M20">
        <f>INDEX(B$5:B$23,MATCH($A20-N_Sensitivity,A$5:A$23,0))*Transition_Rate</f>
        <v/>
      </c>
      <c r="N20">
        <f>INDEX(C$5:C$23,MATCH($A20-N_Sensitivity,A$5:A$23,0))*Transition_Rate</f>
        <v/>
      </c>
      <c r="O20">
        <f>INDEX(D$5:D$23,MATCH($A20-N_Sensitivity,A$5:A$23,0))*Transition_Rate</f>
        <v/>
      </c>
      <c r="P20">
        <f>(P19+M20)*(1-Attrition_Rate)</f>
        <v/>
      </c>
      <c r="Q20">
        <f>(Q19+N20)*(1-Attrition_Rate)</f>
        <v/>
      </c>
      <c r="R20">
        <f>(R19+O20)*(1-Attrition_Rate)</f>
        <v/>
      </c>
      <c r="S20">
        <f>P20-Q20</f>
        <v/>
      </c>
      <c r="T20">
        <f>P20-R20</f>
        <v/>
      </c>
      <c r="U20">
        <f>IF(K20&gt;0,1,0)</f>
        <v/>
      </c>
      <c r="V20">
        <f>IF(L20&gt;0,1,0)</f>
        <v/>
      </c>
      <c r="W20">
        <f>IF(S20&gt;0,1,0)</f>
        <v/>
      </c>
      <c r="X20">
        <f>IF(T20&gt;0,1,0)</f>
        <v/>
      </c>
    </row>
    <row r="21">
      <c r="A21">
        <f>A20+1</f>
        <v/>
      </c>
      <c r="B21">
        <f>Baseline_Annual_Hires</f>
        <v/>
      </c>
      <c r="C21">
        <f>IF($A21&gt;=Base_Year+1,Baseline_Annual_Hires*Depressed_Hiring_Pct,Baseline_Annual_Hires)</f>
        <v/>
      </c>
      <c r="D21">
        <f>IF($A21&gt;=Base_Year+1,IF($A21&lt;Recovery_Start_Year,Baseline_Annual_Hires*Depressed_Hiring_Pct,Baseline_Annual_Hires),Baseline_Annual_Hires)</f>
        <v/>
      </c>
      <c r="E21">
        <f>INDEX(B$5:B$23,MATCH($A21-N_Primary,A$5:A$23,0))*Transition_Rate</f>
        <v/>
      </c>
      <c r="F21">
        <f>INDEX(C$5:C$23,MATCH($A21-N_Primary,A$5:A$23,0))*Transition_Rate</f>
        <v/>
      </c>
      <c r="G21">
        <f>INDEX(D$5:D$23,MATCH($A21-N_Primary,A$5:A$23,0))*Transition_Rate</f>
        <v/>
      </c>
      <c r="H21">
        <f>(H20+E21)*(1-Attrition_Rate)</f>
        <v/>
      </c>
      <c r="I21">
        <f>(I20+F21)*(1-Attrition_Rate)</f>
        <v/>
      </c>
      <c r="J21">
        <f>(J20+G21)*(1-Attrition_Rate)</f>
        <v/>
      </c>
      <c r="K21">
        <f>H21-I21</f>
        <v/>
      </c>
      <c r="L21">
        <f>H21-J21</f>
        <v/>
      </c>
      <c r="M21">
        <f>INDEX(B$5:B$23,MATCH($A21-N_Sensitivity,A$5:A$23,0))*Transition_Rate</f>
        <v/>
      </c>
      <c r="N21">
        <f>INDEX(C$5:C$23,MATCH($A21-N_Sensitivity,A$5:A$23,0))*Transition_Rate</f>
        <v/>
      </c>
      <c r="O21">
        <f>INDEX(D$5:D$23,MATCH($A21-N_Sensitivity,A$5:A$23,0))*Transition_Rate</f>
        <v/>
      </c>
      <c r="P21">
        <f>(P20+M21)*(1-Attrition_Rate)</f>
        <v/>
      </c>
      <c r="Q21">
        <f>(Q20+N21)*(1-Attrition_Rate)</f>
        <v/>
      </c>
      <c r="R21">
        <f>(R20+O21)*(1-Attrition_Rate)</f>
        <v/>
      </c>
      <c r="S21">
        <f>P21-Q21</f>
        <v/>
      </c>
      <c r="T21">
        <f>P21-R21</f>
        <v/>
      </c>
      <c r="U21">
        <f>IF(K21&gt;0,1,0)</f>
        <v/>
      </c>
      <c r="V21">
        <f>IF(L21&gt;0,1,0)</f>
        <v/>
      </c>
      <c r="W21">
        <f>IF(S21&gt;0,1,0)</f>
        <v/>
      </c>
      <c r="X21">
        <f>IF(T21&gt;0,1,0)</f>
        <v/>
      </c>
    </row>
    <row r="22">
      <c r="A22">
        <f>A21+1</f>
        <v/>
      </c>
      <c r="B22">
        <f>Baseline_Annual_Hires</f>
        <v/>
      </c>
      <c r="C22">
        <f>IF($A22&gt;=Base_Year+1,Baseline_Annual_Hires*Depressed_Hiring_Pct,Baseline_Annual_Hires)</f>
        <v/>
      </c>
      <c r="D22">
        <f>IF($A22&gt;=Base_Year+1,IF($A22&lt;Recovery_Start_Year,Baseline_Annual_Hires*Depressed_Hiring_Pct,Baseline_Annual_Hires),Baseline_Annual_Hires)</f>
        <v/>
      </c>
      <c r="E22">
        <f>INDEX(B$5:B$23,MATCH($A22-N_Primary,A$5:A$23,0))*Transition_Rate</f>
        <v/>
      </c>
      <c r="F22">
        <f>INDEX(C$5:C$23,MATCH($A22-N_Primary,A$5:A$23,0))*Transition_Rate</f>
        <v/>
      </c>
      <c r="G22">
        <f>INDEX(D$5:D$23,MATCH($A22-N_Primary,A$5:A$23,0))*Transition_Rate</f>
        <v/>
      </c>
      <c r="H22">
        <f>(H21+E22)*(1-Attrition_Rate)</f>
        <v/>
      </c>
      <c r="I22">
        <f>(I21+F22)*(1-Attrition_Rate)</f>
        <v/>
      </c>
      <c r="J22">
        <f>(J21+G22)*(1-Attrition_Rate)</f>
        <v/>
      </c>
      <c r="K22">
        <f>H22-I22</f>
        <v/>
      </c>
      <c r="L22">
        <f>H22-J22</f>
        <v/>
      </c>
      <c r="M22">
        <f>INDEX(B$5:B$23,MATCH($A22-N_Sensitivity,A$5:A$23,0))*Transition_Rate</f>
        <v/>
      </c>
      <c r="N22">
        <f>INDEX(C$5:C$23,MATCH($A22-N_Sensitivity,A$5:A$23,0))*Transition_Rate</f>
        <v/>
      </c>
      <c r="O22">
        <f>INDEX(D$5:D$23,MATCH($A22-N_Sensitivity,A$5:A$23,0))*Transition_Rate</f>
        <v/>
      </c>
      <c r="P22">
        <f>(P21+M22)*(1-Attrition_Rate)</f>
        <v/>
      </c>
      <c r="Q22">
        <f>(Q21+N22)*(1-Attrition_Rate)</f>
        <v/>
      </c>
      <c r="R22">
        <f>(R21+O22)*(1-Attrition_Rate)</f>
        <v/>
      </c>
      <c r="S22">
        <f>P22-Q22</f>
        <v/>
      </c>
      <c r="T22">
        <f>P22-R22</f>
        <v/>
      </c>
      <c r="U22">
        <f>IF(K22&gt;0,1,0)</f>
        <v/>
      </c>
      <c r="V22">
        <f>IF(L22&gt;0,1,0)</f>
        <v/>
      </c>
      <c r="W22">
        <f>IF(S22&gt;0,1,0)</f>
        <v/>
      </c>
      <c r="X22">
        <f>IF(T22&gt;0,1,0)</f>
        <v/>
      </c>
    </row>
    <row r="23">
      <c r="A23">
        <f>A22+1</f>
        <v/>
      </c>
      <c r="B23">
        <f>Baseline_Annual_Hires</f>
        <v/>
      </c>
      <c r="C23">
        <f>IF($A23&gt;=Base_Year+1,Baseline_Annual_Hires*Depressed_Hiring_Pct,Baseline_Annual_Hires)</f>
        <v/>
      </c>
      <c r="D23">
        <f>IF($A23&gt;=Base_Year+1,IF($A23&lt;Recovery_Start_Year,Baseline_Annual_Hires*Depressed_Hiring_Pct,Baseline_Annual_Hires),Baseline_Annual_Hires)</f>
        <v/>
      </c>
      <c r="E23">
        <f>INDEX(B$5:B$23,MATCH($A23-N_Primary,A$5:A$23,0))*Transition_Rate</f>
        <v/>
      </c>
      <c r="F23">
        <f>INDEX(C$5:C$23,MATCH($A23-N_Primary,A$5:A$23,0))*Transition_Rate</f>
        <v/>
      </c>
      <c r="G23">
        <f>INDEX(D$5:D$23,MATCH($A23-N_Primary,A$5:A$23,0))*Transition_Rate</f>
        <v/>
      </c>
      <c r="H23">
        <f>(H22+E23)*(1-Attrition_Rate)</f>
        <v/>
      </c>
      <c r="I23">
        <f>(I22+F23)*(1-Attrition_Rate)</f>
        <v/>
      </c>
      <c r="J23">
        <f>(J22+G23)*(1-Attrition_Rate)</f>
        <v/>
      </c>
      <c r="K23">
        <f>H23-I23</f>
        <v/>
      </c>
      <c r="L23">
        <f>H23-J23</f>
        <v/>
      </c>
      <c r="M23">
        <f>INDEX(B$5:B$23,MATCH($A23-N_Sensitivity,A$5:A$23,0))*Transition_Rate</f>
        <v/>
      </c>
      <c r="N23">
        <f>INDEX(C$5:C$23,MATCH($A23-N_Sensitivity,A$5:A$23,0))*Transition_Rate</f>
        <v/>
      </c>
      <c r="O23">
        <f>INDEX(D$5:D$23,MATCH($A23-N_Sensitivity,A$5:A$23,0))*Transition_Rate</f>
        <v/>
      </c>
      <c r="P23">
        <f>(P22+M23)*(1-Attrition_Rate)</f>
        <v/>
      </c>
      <c r="Q23">
        <f>(Q22+N23)*(1-Attrition_Rate)</f>
        <v/>
      </c>
      <c r="R23">
        <f>(R22+O23)*(1-Attrition_Rate)</f>
        <v/>
      </c>
      <c r="S23">
        <f>P23-Q23</f>
        <v/>
      </c>
      <c r="T23">
        <f>P23-R23</f>
        <v/>
      </c>
      <c r="U23">
        <f>IF(K23&gt;0,1,0)</f>
        <v/>
      </c>
      <c r="V23">
        <f>IF(L23&gt;0,1,0)</f>
        <v/>
      </c>
      <c r="W23">
        <f>IF(S23&gt;0,1,0)</f>
        <v/>
      </c>
      <c r="X23">
        <f>IF(T23&gt;0,1,0)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Pipeline Projection model — Notes</t>
        </is>
      </c>
    </row>
    <row r="2">
      <c r="A2" s="2" t="inlineStr"/>
    </row>
    <row r="3">
      <c r="A3" s="2" t="inlineStr">
        <is>
          <t>What this model does: a cohort model of junior-to-mid-level progression, built to test docs/briefs/research-brief.md's H2 (timing). Three hiring paths (Baseline, Depressed, Recovery) are tracked under two training-lag assumptions (N=3, the brief's primary case, and N=5, its sensitivity case), producing a MidSupply stock for each, and a Gap against Baseline for the Depressed and Recovery paths.</t>
        </is>
      </c>
    </row>
    <row r="4">
      <c r="A4" s="2" t="inlineStr"/>
    </row>
    <row r="5">
      <c r="A5" s="2" t="inlineStr">
        <is>
          <t>Formulas (agreed in the 2026-10-09 research-brief session, logged in prompt-log.md):</t>
        </is>
      </c>
    </row>
    <row r="6">
      <c r="A6" s="2" t="inlineStr">
        <is>
          <t xml:space="preserve">  Graduates[t,scenario,N] = Hire[t-N, scenario] x Transition_Rate</t>
        </is>
      </c>
    </row>
    <row r="7">
      <c r="A7" s="2" t="inlineStr">
        <is>
          <t xml:space="preserve">  MidSupply[t,scenario,N] = (MidSupply[t-1,scenario,N] + Graduates[t,scenario,N]) x (1 - Attrition_Rate)</t>
        </is>
      </c>
    </row>
    <row r="8">
      <c r="A8" s="2" t="inlineStr">
        <is>
          <t xml:space="preserve">  Gap[t,scenario,N] = MidSupply[t,Baseline,N] - MidSupply[t,scenario,N]</t>
        </is>
      </c>
    </row>
    <row r="9">
      <c r="A9" s="2" t="inlineStr">
        <is>
          <t xml:space="preserve">  Attrition is applied AFTER the new cohort joins the stock each year (Jennifer's choice, not the default convention) — new graduates face attrition risk in their first year too.</t>
        </is>
      </c>
    </row>
    <row r="10">
      <c r="A10" s="2" t="inlineStr"/>
    </row>
    <row r="11">
      <c r="A11" s="2" t="inlineStr">
        <is>
          <t>IMPORTANT — every value on the Inputs tab is a PLACEHOLDER, not a real or decided figure. Baseline_Annual_Hires, Depressed_Hiring_Pct, Transition_Rate, Attrition_Rate, and Base_MidLevel_Stock are illustrative round numbers chosen only so the formulas have something to compute with. None of these were derived from data or decided as the paper's actual assumptions — that choice is Jennifer's, consistent with every other judgment call in this brief being hers to make and label.</t>
        </is>
      </c>
    </row>
    <row r="12">
      <c r="A12" s="2" t="inlineStr"/>
    </row>
    <row r="13">
      <c r="A13" s="2" t="inlineStr">
        <is>
          <t>Depressed scenario is modeled as reduced hiring from Base_Year+1 onward with NO built-in recovery — the brief's own 'through 2030' phrasing names the year relevant to H2, not an end to the depression; a self-reverting Depressed scenario would blur it into Recovery. Recovery scenario matches the brief exactly: depressed from Base_Year+1 through Recovery_Start_Year-1, back to full baseline hiring from Recovery_Start_Year onward.</t>
        </is>
      </c>
    </row>
    <row r="14">
      <c r="A14" s="2" t="inlineStr"/>
    </row>
    <row r="15">
      <c r="A15" s="2" t="inlineStr">
        <is>
          <t>KNOWN LIMITATION: this workbook was built by a script (openpyxl), not by Excel, so no formula carries a stored/cached value — it will render blank in a non-recalculating viewer (e.g. the GitHub.com preview). Open it in Excel or LibreOffice, let it recalculate, and save, matching the same issue documented for capabilities/marginal-analysis/model.xlsx in that engagement's instructor review.</t>
        </is>
      </c>
    </row>
    <row r="16">
      <c r="A16" s="2" t="inlineStr"/>
    </row>
    <row r="17">
      <c r="A17" s="2" t="inlineStr">
        <is>
          <t>Built: 2026-10-09. Supports: docs/briefs/research-brief.md, loose end 4 of the 2026-10-06 instructor review (does H2 hold at three years and at five).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2026-10-09T02:20:18Z</dcterms:created>
  <dcterms:modified xsi:type="dcterms:W3CDTF">2026-10-09T07:20:26Z</dcterms:modified>
</cp:coreProperties>
</file>
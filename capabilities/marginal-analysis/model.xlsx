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alculations" sheetId="3" state="visible" r:id="rId5"/>
    <sheet name="Solver" sheetId="4" state="visible" r:id="rId6"/>
    <sheet name="Notes" sheetId="5" state="visible" r:id="rId7"/>
  </sheets>
  <definedNames>
    <definedName function="false" hidden="false" name="Beds_Carrot" vbProcedure="false">Solver!$C$7</definedName>
    <definedName function="false" hidden="false" name="Beds_Mesclun" vbProcedure="false">Solver!$C$8</definedName>
    <definedName function="false" hidden="false" name="Beds_Tomato" vbProcedure="false">Solver!$C$6</definedName>
    <definedName function="false" hidden="false" name="Carrot_Base_Labor_Hrs_Wk_Bed" vbProcedure="false">Inputs!$C$25</definedName>
    <definedName function="false" hidden="false" name="Carrot_Bed_Cap" vbProcedure="false">Inputs!$C$7</definedName>
    <definedName function="false" hidden="false" name="Carrot_Diminishing_Rate" vbProcedure="false">Inputs!$C$28</definedName>
    <definedName function="false" hidden="false" name="Carrot_Fertilizer_Per_Bed" vbProcedure="false">Inputs!$C$22</definedName>
    <definedName function="false" hidden="false" name="Carrot_Price" vbProcedure="false">Inputs!$C$19</definedName>
    <definedName function="false" hidden="false" name="Farmer_Implied_Wage" vbProcedure="false">Inputs!$C$12</definedName>
    <definedName function="false" hidden="false" name="Farmer_Season_Salary" vbProcedure="false">Inputs!$C$11</definedName>
    <definedName function="false" hidden="false" name="Fixed_Cost" vbProcedure="false">Inputs!$C$10</definedName>
    <definedName function="false" hidden="false" name="Mesclun_Base_Labor_Hrs_Wk_Bed" vbProcedure="false">Inputs!$C$26</definedName>
    <definedName function="false" hidden="false" name="Mesclun_Bed_Cap" vbProcedure="false">Inputs!$C$8</definedName>
    <definedName function="false" hidden="false" name="Mesclun_Diminishing_Rate" vbProcedure="false">Inputs!$C$29</definedName>
    <definedName function="false" hidden="false" name="Mesclun_Fertilizer_Per_Bed" vbProcedure="false">Inputs!$C$23</definedName>
    <definedName function="false" hidden="false" name="Mesclun_Price" vbProcedure="false">Inputs!$C$20</definedName>
    <definedName function="false" hidden="false" name="Own_Labor_Hours" vbProcedure="false">Inputs!$C$13</definedName>
    <definedName function="false" hidden="false" name="Season_Weeks" vbProcedure="false">Inputs!$C$9</definedName>
    <definedName function="false" hidden="false" name="Temp_Wage_Per_Hour" vbProcedure="false">Inputs!$C$17</definedName>
    <definedName function="false" hidden="false" name="Temp_Workers_Hired" vbProcedure="false">Solver!$C$9</definedName>
    <definedName function="false" hidden="false" name="Temp_Worker_Flat_Cost" vbProcedure="false">Inputs!$C$16</definedName>
    <definedName function="false" hidden="false" name="Temp_Worker_Hours" vbProcedure="false">Inputs!$C$15</definedName>
    <definedName function="false" hidden="false" name="Temp_Worker_Max" vbProcedure="false">Inputs!$C$14</definedName>
    <definedName function="false" hidden="false" name="Tomato_Base_Labor_Hrs_Wk_Bed" vbProcedure="false">Inputs!$C$24</definedName>
    <definedName function="false" hidden="false" name="Tomato_Bed_Cap" vbProcedure="false">Inputs!$C$6</definedName>
    <definedName function="false" hidden="false" name="Tomato_Diminishing_Rate" vbProcedure="false">Inputs!$C$27</definedName>
    <definedName function="false" hidden="false" name="Tomato_Fertilizer_Per_Bed" vbProcedure="false">Inputs!$C$21</definedName>
    <definedName function="false" hidden="false" name="Tomato_Price" vbProcedure="false">Inputs!$C$18</definedName>
    <definedName function="false" hidden="false" name="Total_Beds" vbProcedure="false">Inputs!$C$5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<sst xmlns="http://schemas.openxmlformats.org/spreadsheetml/2006/main" count="218" uniqueCount="174">
  <si>
    <t xml:space="preserve">Summary — Market Garden Bed Allocation</t>
  </si>
  <si>
    <t xml:space="preserve">perfect-competition engagement · marginal-analysis capability · see Solver tab to change the allocation</t>
  </si>
  <si>
    <t xml:space="preserve">Allocation (Solver optimum)</t>
  </si>
  <si>
    <t xml:space="preserve">Crop</t>
  </si>
  <si>
    <t xml:space="preserve">Beds</t>
  </si>
  <si>
    <t xml:space="preserve">Price/bed</t>
  </si>
  <si>
    <t xml:space="preserve">Fertilizer/bed</t>
  </si>
  <si>
    <t xml:space="preserve">Revenue</t>
  </si>
  <si>
    <t xml:space="preserve">Tomato</t>
  </si>
  <si>
    <t xml:space="preserve">Carrot</t>
  </si>
  <si>
    <t xml:space="preserve">Mesclun</t>
  </si>
  <si>
    <t xml:space="preserve">Total beds</t>
  </si>
  <si>
    <t xml:space="preserve">Labor &amp; Cost Summary</t>
  </si>
  <si>
    <t xml:space="preserve">Temp workers hired</t>
  </si>
  <si>
    <t xml:space="preserve">Total labor hours needed</t>
  </si>
  <si>
    <t xml:space="preserve">Fertilizer cost</t>
  </si>
  <si>
    <t xml:space="preserve">Labor cost (tiered)</t>
  </si>
  <si>
    <t xml:space="preserve">Total Contribution</t>
  </si>
  <si>
    <t xml:space="preserve">Fixed Cost</t>
  </si>
  <si>
    <t xml:space="preserve">PROFIT</t>
  </si>
  <si>
    <t xml:space="preserve">Greedy P=MC Walk vs. Solver (spec §5/§9)</t>
  </si>
  <si>
    <t xml:space="preserve">Greedy walk beds — Tomato / Carrot / Mesclun</t>
  </si>
  <si>
    <t xml:space="preserve">Greedy walk PROFIT</t>
  </si>
  <si>
    <t xml:space="preserve">Delta vs. Solver PROFIT</t>
  </si>
  <si>
    <t xml:space="preserve">Hypothesis Verdict (spec §7/§9)</t>
  </si>
  <si>
    <t xml:space="preserve">Check 1 — Carrots &gt; Mesclun beds?</t>
  </si>
  <si>
    <t xml:space="preserve">Check 5 — Swap test (Mesclun-1/Carrot+1) verdict</t>
  </si>
  <si>
    <t xml:space="preserve">Checks 2-4 require manual re-runs — see Notes tab.</t>
  </si>
  <si>
    <t xml:space="preserve">Inputs — Market Garden Bed Allocation (v1.5)</t>
  </si>
  <si>
    <t xml:space="preserve">capabilities/marginal-analysis · perfect-competition engagement · edit only the yellow cells</t>
  </si>
  <si>
    <t xml:space="preserve">Category</t>
  </si>
  <si>
    <t xml:space="preserve">Named Range</t>
  </si>
  <si>
    <t xml:space="preserve">Value</t>
  </si>
  <si>
    <t xml:space="preserve">Unit</t>
  </si>
  <si>
    <t xml:space="preserve">Bed capacity</t>
  </si>
  <si>
    <t xml:space="preserve">Total_Beds</t>
  </si>
  <si>
    <t xml:space="preserve">beds</t>
  </si>
  <si>
    <t xml:space="preserve">Tomato_Bed_Cap</t>
  </si>
  <si>
    <t xml:space="preserve">Carrot_Bed_Cap</t>
  </si>
  <si>
    <t xml:space="preserve">Mesclun_Bed_Cap</t>
  </si>
  <si>
    <t xml:space="preserve">Season</t>
  </si>
  <si>
    <t xml:space="preserve">Season_Weeks</t>
  </si>
  <si>
    <t xml:space="preserve">weeks</t>
  </si>
  <si>
    <t xml:space="preserve">Fixed costs</t>
  </si>
  <si>
    <t xml:space="preserve">Fixed_Cost</t>
  </si>
  <si>
    <t xml:space="preserve">$</t>
  </si>
  <si>
    <t xml:space="preserve">Labor pool</t>
  </si>
  <si>
    <t xml:space="preserve">Farmer_Season_Salary</t>
  </si>
  <si>
    <t xml:space="preserve">$/season</t>
  </si>
  <si>
    <t xml:space="preserve">Farmer_Implied_Wage</t>
  </si>
  <si>
    <t xml:space="preserve">$/hr</t>
  </si>
  <si>
    <t xml:space="preserve">Own_Labor_Hours</t>
  </si>
  <si>
    <t xml:space="preserve">hrs</t>
  </si>
  <si>
    <t xml:space="preserve">Temp_Worker_Max</t>
  </si>
  <si>
    <t xml:space="preserve">workers</t>
  </si>
  <si>
    <t xml:space="preserve">Temp_Worker_Hours</t>
  </si>
  <si>
    <t xml:space="preserve">hrs/worker</t>
  </si>
  <si>
    <t xml:space="preserve">Temp_Worker_Flat_Cost</t>
  </si>
  <si>
    <t xml:space="preserve">$/worker</t>
  </si>
  <si>
    <t xml:space="preserve">Temp_Wage_Per_Hour</t>
  </si>
  <si>
    <t xml:space="preserve">Crop economics</t>
  </si>
  <si>
    <t xml:space="preserve">Tomato_Price</t>
  </si>
  <si>
    <t xml:space="preserve">$/bed</t>
  </si>
  <si>
    <t xml:space="preserve">Carrot_Price</t>
  </si>
  <si>
    <t xml:space="preserve">Mesclun_Price</t>
  </si>
  <si>
    <t xml:space="preserve">Tomato_Fertilizer_Per_Bed</t>
  </si>
  <si>
    <t xml:space="preserve">Carrot_Fertilizer_Per_Bed</t>
  </si>
  <si>
    <t xml:space="preserve">Mesclun_Fertilizer_Per_Bed</t>
  </si>
  <si>
    <t xml:space="preserve">Tomato_Base_Labor_Hrs_Wk_Bed</t>
  </si>
  <si>
    <t xml:space="preserve">hrs/wk/bed</t>
  </si>
  <si>
    <t xml:space="preserve">Carrot_Base_Labor_Hrs_Wk_Bed</t>
  </si>
  <si>
    <t xml:space="preserve">Mesclun_Base_Labor_Hrs_Wk_Bed</t>
  </si>
  <si>
    <t xml:space="preserve">Tomato_Diminishing_Rate</t>
  </si>
  <si>
    <t xml:space="preserve">%/bed</t>
  </si>
  <si>
    <t xml:space="preserve">Carrot_Diminishing_Rate</t>
  </si>
  <si>
    <t xml:space="preserve">Mesclun_Diminishing_Rate</t>
  </si>
  <si>
    <t xml:space="preserve">Calculations — Per-Crop Marginal Cost Curves (standalone)</t>
  </si>
  <si>
    <t xml:space="preserve">Standalone view: each crop's OWN cumulative hours determine which wage tier it's in (spec §5) -- first Own_Labor_Hours (720) of THAT CROP's hours are the expensive Farmer_Implied_Wage tier, rest are the cheaper Temp_Wage_Per_Hour tier. This is a sanity-check reference, not the joint answer (the Joint Allocation section below uses the real shared pool).</t>
  </si>
  <si>
    <t xml:space="preserve">Bed #</t>
  </si>
  <si>
    <t xml:space="preserve">Marginal Hrs</t>
  </si>
  <si>
    <t xml:space="preserve">Cumulative Hrs</t>
  </si>
  <si>
    <t xml:space="preserve">Marg. Cost (standalone)</t>
  </si>
  <si>
    <t xml:space="preserve">Marg. Contribution</t>
  </si>
  <si>
    <t xml:space="preserve">Cumul. Contribution</t>
  </si>
  <si>
    <t xml:space="preserve">Still profitable?</t>
  </si>
  <si>
    <t xml:space="preserve">Standalone last-profitable bed (first crossover, per the lab's own definition):</t>
  </si>
  <si>
    <t xml:space="preserve">Joint Allocation (decision cells live on the Solver tab)</t>
  </si>
  <si>
    <t xml:space="preserve">Beds — Tomato (from Solver)</t>
  </si>
  <si>
    <t xml:space="preserve">Beds — Carrot (from Solver)</t>
  </si>
  <si>
    <t xml:space="preserve">Beds — Mesclun (from Solver)</t>
  </si>
  <si>
    <t xml:space="preserve">Temp workers hired (from Solver)</t>
  </si>
  <si>
    <t xml:space="preserve">Cumulative labor hrs — Tomato @ chosen beds</t>
  </si>
  <si>
    <t xml:space="preserve">Cumulative labor hrs — Carrot @ chosen beds</t>
  </si>
  <si>
    <t xml:space="preserve">Cumulative labor hrs — Mesclun @ chosen beds</t>
  </si>
  <si>
    <t xml:space="preserve">Temp workers needed (feasibility count, not a cost)</t>
  </si>
  <si>
    <t xml:space="preserve">Temp workers needed, unrounded (spec sec 6 check figure: ~3.16)</t>
  </si>
  <si>
    <t xml:space="preserve">Labor cost (tiered: 720 hrs @ Farmer_Implied_Wage, rest @ Temp_Wage_Per_Hour)</t>
  </si>
  <si>
    <t xml:space="preserve">Total Contribution (before fixed cost)</t>
  </si>
  <si>
    <t xml:space="preserve">PROFIT (after Fixed_Cost)</t>
  </si>
  <si>
    <t xml:space="preserve">Validation Checks</t>
  </si>
  <si>
    <t xml:space="preserve">Tomato beds &lt;= cap</t>
  </si>
  <si>
    <t xml:space="preserve">Carrot beds &lt;= cap</t>
  </si>
  <si>
    <t xml:space="preserve">Mesclun beds &lt;= cap</t>
  </si>
  <si>
    <t xml:space="preserve">Total beds &lt;= Total_Beds</t>
  </si>
  <si>
    <t xml:space="preserve">Temp workers integer, 0 &lt;= n &lt;= Temp_Worker_Max</t>
  </si>
  <si>
    <t xml:space="preserve">Labor hours covered by own + hired capacity</t>
  </si>
  <si>
    <t xml:space="preserve">Temp_Workers_Hired (Solver) &gt;= workers actually needed</t>
  </si>
  <si>
    <t xml:space="preserve">Hypothesis Checks (spec §7)</t>
  </si>
  <si>
    <t xml:space="preserve">Check 1 — Carrots &gt; Mesclun beds? (mesclun's edge fails if TRUE)</t>
  </si>
  <si>
    <t xml:space="preserve">Check 5 — Swap test: Mesclun -1 bed, Carrot +1 bed</t>
  </si>
  <si>
    <t xml:space="preserve">Cumulative hrs — Carrot @ swapped beds (N/A if carrot's already at its cap)</t>
  </si>
  <si>
    <t xml:space="preserve">Cumulative hrs — Mesclun @ swapped beds</t>
  </si>
  <si>
    <t xml:space="preserve">Total labor hours needed (swapped)</t>
  </si>
  <si>
    <t xml:space="preserve">Labor cost (swapped)</t>
  </si>
  <si>
    <t xml:space="preserve">Total Contribution (swapped, before fixed cost)</t>
  </si>
  <si>
    <t xml:space="preserve">Delta vs. current allocation</t>
  </si>
  <si>
    <t xml:space="preserve">Verdict</t>
  </si>
  <si>
    <t xml:space="preserve">Greedy P = MC Walk (spec §5) — allocate each next bed to whichever crop has the highest marginal profit right now</t>
  </si>
  <si>
    <t xml:space="preserve">Stops when either 64 beds are filled or no crop's next bed has positive marginal profit, whichever first.</t>
  </si>
  <si>
    <t xml:space="preserve">Step</t>
  </si>
  <si>
    <t xml:space="preserve">Chosen crop</t>
  </si>
  <si>
    <t xml:space="preserve">Beds Tomato</t>
  </si>
  <si>
    <t xml:space="preserve">Beds Carrot</t>
  </si>
  <si>
    <t xml:space="preserve">Beds Mesclun</t>
  </si>
  <si>
    <t xml:space="preserve">Cum. Hrs (shared)</t>
  </si>
  <si>
    <t xml:space="preserve">Cand. profit — Tomato</t>
  </si>
  <si>
    <t xml:space="preserve">Cand. profit — Carrot</t>
  </si>
  <si>
    <t xml:space="preserve">Cand. profit — Mesclun</t>
  </si>
  <si>
    <t xml:space="preserve">Greedy walk result</t>
  </si>
  <si>
    <t xml:space="preserve">Beds — Tomato / Carrot / Mesclun</t>
  </si>
  <si>
    <t xml:space="preserve">Labor cost (re-costed, tiered)</t>
  </si>
  <si>
    <t xml:space="preserve">vs. Solver optimum — delta in PROFIT</t>
  </si>
  <si>
    <t xml:space="preserve">Solver — Decision Variables &amp; Setup</t>
  </si>
  <si>
    <t xml:space="preserve">Values below are the validated optimum (exhaustive search + confirmed by the greedy walk on Calculations — see spec §6). Change them to explore other allocations.</t>
  </si>
  <si>
    <t xml:space="preserve">Decision Variables (Solver's "changing cells")</t>
  </si>
  <si>
    <t xml:space="preserve">Beds — Tomato</t>
  </si>
  <si>
    <t xml:space="preserve">Beds — Carrot</t>
  </si>
  <si>
    <t xml:space="preserve">Beds — Mesclun</t>
  </si>
  <si>
    <t xml:space="preserve">Objective (Solver's "Set Objective" cell) — Maximize</t>
  </si>
  <si>
    <t xml:space="preserve">Constraints</t>
  </si>
  <si>
    <t xml:space="preserve">• Beds_Tomato &lt;= Tomato_Bed_Cap</t>
  </si>
  <si>
    <t xml:space="preserve">• Beds_Carrot &lt;= Carrot_Bed_Cap</t>
  </si>
  <si>
    <t xml:space="preserve">• Beds_Mesclun &lt;= Mesclun_Bed_Cap</t>
  </si>
  <si>
    <t xml:space="preserve">• Beds_Tomato + Beds_Carrot + Beds_Mesclun &lt;= Total_Beds</t>
  </si>
  <si>
    <t xml:space="preserve">• Total labor hours needed &lt;= Own_Labor_Hours + Temp_Workers_Hired x Temp_Worker_Hours</t>
  </si>
  <si>
    <t xml:space="preserve">• Temp_Workers_Hired &gt;= workers actually needed to cover the hours (no under-hiring)</t>
  </si>
  <si>
    <t xml:space="preserve">• 0 &lt;= Temp_Workers_Hired &lt;= Temp_Worker_Max, integer</t>
  </si>
  <si>
    <t xml:space="preserve">• All beds &gt;= 0, integer</t>
  </si>
  <si>
    <t xml:space="preserve">Live constraint checks (linked from Calculations)</t>
  </si>
  <si>
    <t xml:space="preserve">Temp workers valid (integer 0-4)</t>
  </si>
  <si>
    <t xml:space="preserve">Labor hours covered</t>
  </si>
  <si>
    <t xml:space="preserve">Not under-hired</t>
  </si>
  <si>
    <t xml:space="preserve">To re-run in Excel: Data tab &gt; Solver &gt; Set Objective = C11, To: Max, By Changing Variable Cells = C6:C9, Add the constraints above, Solving Method = Evolutionary or GRG Nonlinear (this cost model is smooth, no lumpy jump -- see spec sec 5), then Solve.</t>
  </si>
  <si>
    <t xml:space="preserve">Notes — Market Garden Bed Allocation Model (v1.5)</t>
  </si>
  <si>
    <t xml:space="preserve">What this model does</t>
  </si>
  <si>
    <t xml:space="preserve">Chooses how many of 64 beds to plant with tomatoes, carrots, and mesclun (one 36-week season, no mid-season replanting), and how many temp workers to hire, to maximize season profit. See capabilities/marginal-analysis/spec.md for the full spec, including section 6's validation log.</t>
  </si>
  <si>
    <t xml:space="preserve">Data sources</t>
  </si>
  <si>
    <t xml:space="preserve">- docs/briefs/perfect-competition-brief.md -- problem framing, fixed/chosen variables, assumptions, hypothesis.</t>
  </si>
  <si>
    <t xml:space="preserve">- Case materials (crop economics table) -- per-crop price, fertilizer $/bed, base labor hrs/wk/bed, diminishing-returns rate.</t>
  </si>
  <si>
    <t xml:space="preserve">- Farm Profit Lab (adamwstauffer.github.io/ai-lms/farmlab.html) -- validated the labor-wage tiering and confirmed the acceptance criteria (spec sec 6).</t>
  </si>
  <si>
    <t xml:space="preserve">Labor cost -- corrected in v1.3, wage inputs corrected again in v1.5</t>
  </si>
  <si>
    <t xml:space="preserve">The farmer's first 720 hours (shared across all three crops) are priced at Farmer_Implied_Wage -- the EXPENSIVE tier, not free. Hours beyond 720 drop to Temp_Wage_Per_Hour -- the CHEAP tier. There is no $0 tier and no separate Farmer_Salary fixed cost; her compensation is captured entirely through the per-hour Farmer_Implied_Wage charge.</t>
  </si>
  <si>
    <t xml:space="preserve">v1.5: Farmer_Implied_Wage and Temp_Wage_Per_Hour are formulas on Inputs (=Farmer_Season_Salary/2/Own_Labor_Hours = $34.7222.../hr, and =Temp_Worker_Flat_Cost/Temp_Worker_Hours = $17.3611.../hr), not the case materials' rounded, displayed values ($34.72 / $17.36). Entering the rounded values directly had moved season profit by several dollars -- small enough to hide inside a tolerance band, which is exactly why that tolerance was removed rather than kept (spec sec 6, v1.5 defect record).</t>
  </si>
  <si>
    <t xml:space="preserve">Open item: the brief states a $25,000-per-temp-worker lumpy hiring fee. The validated Farm Profit Lab's own P&amp;L does not charge it -- Temp_Workers_Hired there is an informational feasibility count only. This model matches the validated (no-fee) version, since that's what reproduces the acceptance criteria. Worth confirming with Adam before treating as settled.</t>
  </si>
  <si>
    <t xml:space="preserve">Validated result</t>
  </si>
  <si>
    <t xml:space="preserve">Tomatoes 10 / Carrots 20 / Mesclun 30 (60 beds), 4 temp workers (3.16 needed, unrounded), PROFIT should now match the $42,761.66 acceptance target to the cent (spec sec 6, v1.5). Carrots and Mesclun both sit at their bed caps; Tomatoes stops well short of its own cap. The greedy P=MC walk (Calculations tab) reaches the identical allocation, confirming spec sec 5's claim that the two methods agree under this (lumpy-fee-free) cost model.</t>
  </si>
  <si>
    <t xml:space="preserve">Running Excel Solver</t>
  </si>
  <si>
    <t xml:space="preserve">Data tab &gt; Solver (enable the add-in first if needed: File &gt; Options &gt; Add-ins &gt; Manage: Excel Add-ins &gt; Go &gt; check Solver Add-in). Set Objective: Solver!$C$11 (Max). By Changing Variable Cells: Solver!$C$6:$C$9. Add the constraints listed on the Solver tab. This cost model is smooth (no lumpy-fee discontinuity), so GRG Nonlinear should converge reliably from most starting points -- but Solver!C6=20,C7=0,C8=0 is infeasible outright (20 tomato beds alone need ~12,110 labor hours against the 6,480 max), so don't start there.</t>
  </si>
  <si>
    <t xml:space="preserve">Manual sensitivity checks (spec sec 7, checks 2-4 -- not automated in this workbook)</t>
  </si>
  <si>
    <t xml:space="preserve">Check 2 (equalize fertilizer cost): temporarily set all three *_Fertilizer_Per_Bed values to their average on Inputs, re-run Solver, see whether tomatoes still land last. Revert after.</t>
  </si>
  <si>
    <t xml:space="preserve">Check 3 (equalize labor rate): same procedure with the three *_Base_Labor_Hrs_Wk_Bed values.</t>
  </si>
  <si>
    <t xml:space="preserve">Check 4 (mesclun-carrot crossover): compare the Mesclun and Carrot blocks' Marg. Contribution columns on Calculations bed-by-bed to find where mesclun's marginal return first drops below carrot's, recording that bed number.</t>
  </si>
  <si>
    <t xml:space="preserve">Date built: 2026-09-12 (v1.5 rebuild) · Engagement: perfect-competition · Capability: marginal-analysis</t>
  </si>
  <si>
    <t xml:space="preserve">AI-assisted build -- logged in prompt-log.md per docs/standards/excel-formatting.md.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</si>
</sst>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$#,##0"/>
    <numFmt numFmtId="167" formatCode="0.00"/>
    <numFmt numFmtId="168" formatCode="\$#,##0.00"/>
    <numFmt numFmtId="169" formatCode="0"/>
    <numFmt numFmtId="170" formatCode="\$#,##0.00;&quot;($&quot;#,##0.00\)"/>
    <numFmt numFmtId="171" formatCode="0.000"/>
    <numFmt numFmtId="172" formatCode="0.00%"/>
    <numFmt numFmtId="173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5" min="3" style="0" width="1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s">
        <v>8</v>
      </c>
      <c r="B6" s="6" t="n">
        <f aca="false">Calculations!$E$39</f>
        <v>10</v>
      </c>
      <c r="C6" s="7" t="n">
        <f aca="false">Tomato_Price</f>
        <v>8800</v>
      </c>
      <c r="D6" s="7" t="n">
        <f aca="false">Tomato_Fertilizer_Per_Bed</f>
        <v>880</v>
      </c>
      <c r="E6" s="7" t="n">
        <f aca="false">B6*C6</f>
        <v>88000</v>
      </c>
    </row>
    <row r="7" customFormat="false" ht="15" hidden="false" customHeight="false" outlineLevel="0" collapsed="false">
      <c r="A7" s="5" t="s">
        <v>9</v>
      </c>
      <c r="B7" s="6" t="n">
        <f aca="false">Calculations!$E$40</f>
        <v>20</v>
      </c>
      <c r="C7" s="7" t="n">
        <f aca="false">Carrot_Price</f>
        <v>2094</v>
      </c>
      <c r="D7" s="7" t="n">
        <f aca="false">Carrot_Fertilizer_Per_Bed</f>
        <v>440</v>
      </c>
      <c r="E7" s="7" t="n">
        <f aca="false">B7*C7</f>
        <v>41880</v>
      </c>
    </row>
    <row r="8" customFormat="false" ht="15" hidden="false" customHeight="false" outlineLevel="0" collapsed="false">
      <c r="A8" s="5" t="s">
        <v>10</v>
      </c>
      <c r="B8" s="6" t="n">
        <f aca="false">Calculations!$E$41</f>
        <v>30</v>
      </c>
      <c r="C8" s="7" t="n">
        <f aca="false">Mesclun_Price</f>
        <v>2700</v>
      </c>
      <c r="D8" s="7" t="n">
        <f aca="false">Mesclun_Fertilizer_Per_Bed</f>
        <v>880</v>
      </c>
      <c r="E8" s="7" t="n">
        <f aca="false">B8*C8</f>
        <v>81000</v>
      </c>
    </row>
    <row r="9" customFormat="false" ht="15" hidden="false" customHeight="false" outlineLevel="0" collapsed="false">
      <c r="A9" s="8" t="s">
        <v>11</v>
      </c>
      <c r="B9" s="9" t="n">
        <f aca="false">SUM(B6:B8)</f>
        <v>60</v>
      </c>
    </row>
    <row r="11" customFormat="false" ht="15" hidden="false" customHeight="false" outlineLevel="0" collapsed="false">
      <c r="A11" s="3" t="s">
        <v>12</v>
      </c>
      <c r="B11" s="3"/>
      <c r="C11" s="3"/>
      <c r="D11" s="3"/>
      <c r="E11" s="3"/>
    </row>
    <row r="12" customFormat="false" ht="15" hidden="false" customHeight="false" outlineLevel="0" collapsed="false">
      <c r="A12" s="10" t="s">
        <v>13</v>
      </c>
      <c r="B12" s="10"/>
      <c r="C12" s="10"/>
      <c r="D12" s="6" t="n">
        <f aca="false">Calculations!$E$42</f>
        <v>4</v>
      </c>
    </row>
    <row r="13" customFormat="false" ht="15" hidden="false" customHeight="false" outlineLevel="0" collapsed="false">
      <c r="A13" s="10" t="s">
        <v>14</v>
      </c>
      <c r="B13" s="10"/>
      <c r="C13" s="10"/>
      <c r="D13" s="11" t="n">
        <f aca="false">Calculations!$E$46</f>
        <v>5277.21611427389</v>
      </c>
    </row>
    <row r="14" customFormat="false" ht="15" hidden="false" customHeight="false" outlineLevel="0" collapsed="false">
      <c r="A14" s="10" t="s">
        <v>7</v>
      </c>
      <c r="B14" s="10"/>
      <c r="C14" s="10"/>
      <c r="D14" s="12" t="n">
        <f aca="false">Calculations!$E$50</f>
        <v>210880</v>
      </c>
    </row>
    <row r="15" customFormat="false" ht="15" hidden="false" customHeight="false" outlineLevel="0" collapsed="false">
      <c r="A15" s="10" t="s">
        <v>15</v>
      </c>
      <c r="B15" s="10"/>
      <c r="C15" s="10"/>
      <c r="D15" s="12" t="n">
        <f aca="false">Calculations!$E$51</f>
        <v>44000</v>
      </c>
    </row>
    <row r="16" customFormat="false" ht="15" hidden="false" customHeight="false" outlineLevel="0" collapsed="false">
      <c r="A16" s="10" t="s">
        <v>16</v>
      </c>
      <c r="B16" s="10"/>
      <c r="C16" s="10"/>
      <c r="D16" s="12" t="n">
        <f aca="false">Calculations!$E$49</f>
        <v>104118.335317255</v>
      </c>
    </row>
    <row r="17" customFormat="false" ht="15" hidden="false" customHeight="false" outlineLevel="0" collapsed="false">
      <c r="A17" s="13" t="s">
        <v>17</v>
      </c>
      <c r="B17" s="13"/>
      <c r="C17" s="13"/>
      <c r="D17" s="14" t="n">
        <f aca="false">Calculations!$E$52</f>
        <v>62761.664682745</v>
      </c>
    </row>
    <row r="18" customFormat="false" ht="15" hidden="false" customHeight="false" outlineLevel="0" collapsed="false">
      <c r="A18" s="10" t="s">
        <v>18</v>
      </c>
      <c r="B18" s="10"/>
      <c r="C18" s="10"/>
      <c r="D18" s="15" t="n">
        <f aca="false">Fixed_Cost</f>
        <v>20000</v>
      </c>
    </row>
    <row r="19" customFormat="false" ht="15" hidden="false" customHeight="false" outlineLevel="0" collapsed="false">
      <c r="A19" s="13" t="s">
        <v>19</v>
      </c>
      <c r="B19" s="13"/>
      <c r="C19" s="13"/>
      <c r="D19" s="14" t="n">
        <f aca="false">Calculations!$E$53</f>
        <v>42761.664682745</v>
      </c>
    </row>
    <row r="21" customFormat="false" ht="15" hidden="false" customHeight="false" outlineLevel="0" collapsed="false">
      <c r="A21" s="3" t="s">
        <v>20</v>
      </c>
      <c r="B21" s="3"/>
      <c r="C21" s="3"/>
      <c r="D21" s="3"/>
      <c r="E21" s="3"/>
    </row>
    <row r="22" customFormat="false" ht="15" hidden="false" customHeight="false" outlineLevel="0" collapsed="false">
      <c r="A22" s="16" t="s">
        <v>21</v>
      </c>
      <c r="B22" s="16"/>
      <c r="C22" s="17" t="n">
        <f aca="false">Calculations!$D$148</f>
        <v>10</v>
      </c>
      <c r="D22" s="17" t="n">
        <f aca="false">Calculations!$E$148</f>
        <v>20</v>
      </c>
      <c r="E22" s="17" t="n">
        <f aca="false">Calculations!$F$148</f>
        <v>30</v>
      </c>
    </row>
    <row r="23" customFormat="false" ht="15" hidden="false" customHeight="false" outlineLevel="0" collapsed="false">
      <c r="A23" s="16" t="s">
        <v>22</v>
      </c>
      <c r="B23" s="16"/>
      <c r="C23" s="16"/>
      <c r="D23" s="18" t="n">
        <f aca="false">Calculations!$D$152</f>
        <v>42761.6646827451</v>
      </c>
    </row>
    <row r="24" customFormat="false" ht="15" hidden="false" customHeight="false" outlineLevel="0" collapsed="false">
      <c r="A24" s="16" t="s">
        <v>23</v>
      </c>
      <c r="B24" s="16"/>
      <c r="C24" s="16"/>
      <c r="D24" s="19" t="n">
        <f aca="false">Calculations!$D$153</f>
        <v>0</v>
      </c>
    </row>
    <row r="26" customFormat="false" ht="15" hidden="false" customHeight="false" outlineLevel="0" collapsed="false">
      <c r="A26" s="3" t="s">
        <v>24</v>
      </c>
      <c r="B26" s="3"/>
      <c r="C26" s="3"/>
      <c r="D26" s="3"/>
      <c r="E26" s="3"/>
    </row>
    <row r="27" customFormat="false" ht="15" hidden="false" customHeight="false" outlineLevel="0" collapsed="false">
      <c r="A27" s="16" t="s">
        <v>25</v>
      </c>
      <c r="B27" s="16"/>
      <c r="C27" s="16"/>
      <c r="D27" s="20" t="str">
        <f aca="false">Calculations!$E$66</f>
        <v>holds</v>
      </c>
    </row>
    <row r="28" customFormat="false" ht="15" hidden="false" customHeight="false" outlineLevel="0" collapsed="false">
      <c r="A28" s="16" t="s">
        <v>26</v>
      </c>
      <c r="B28" s="16"/>
      <c r="C28" s="16"/>
      <c r="D28" s="20" t="str">
        <f aca="false">Calculations!$E$75</f>
        <v>N/A - carrot is already at its bed cap, can't add a bed there</v>
      </c>
    </row>
    <row r="29" customFormat="false" ht="15" hidden="false" customHeight="false" outlineLevel="0" collapsed="false">
      <c r="A29" s="2" t="s">
        <v>27</v>
      </c>
      <c r="B29" s="2"/>
      <c r="C29" s="2"/>
      <c r="D29" s="2"/>
      <c r="E29" s="2"/>
    </row>
  </sheetData>
  <sheetProtection sheet="true"/>
  <mergeCells count="20">
    <mergeCell ref="A1:E1"/>
    <mergeCell ref="A2:E2"/>
    <mergeCell ref="A4:E4"/>
    <mergeCell ref="A11:E11"/>
    <mergeCell ref="A12:C12"/>
    <mergeCell ref="A13:C13"/>
    <mergeCell ref="A14:C14"/>
    <mergeCell ref="A15:C15"/>
    <mergeCell ref="A16:C16"/>
    <mergeCell ref="A17:C17"/>
    <mergeCell ref="A18:C18"/>
    <mergeCell ref="A19:C19"/>
    <mergeCell ref="A21:E21"/>
    <mergeCell ref="A22:B22"/>
    <mergeCell ref="A23:C23"/>
    <mergeCell ref="A24:C24"/>
    <mergeCell ref="A26:E26"/>
    <mergeCell ref="A27:C27"/>
    <mergeCell ref="A28:C28"/>
    <mergeCell ref="A29:E29"/>
  </mergeCells>
  <conditionalFormatting sqref="D27">
    <cfRule type="expression" priority="2" aboveAverage="0" equalAverage="0" bottom="0" percent="0" rank="0" text="" dxfId="0">
      <formula>ISNUMBER(SEARCH("FAILS",D27))</formula>
    </cfRule>
  </conditionalFormatting>
  <conditionalFormatting sqref="D28">
    <cfRule type="expression" priority="3" aboveAverage="0" equalAverage="0" bottom="0" percent="0" rank="0" text="" dxfId="0">
      <formula>ISNUMBER(SEARCH("FAILS",D28))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2"/>
    <col collapsed="false" customWidth="true" hidden="false" outlineLevel="0" max="4" min="3" style="0" width="14"/>
  </cols>
  <sheetData>
    <row r="1" customFormat="false" ht="17.35" hidden="false" customHeight="false" outlineLevel="0" collapsed="false">
      <c r="A1" s="1" t="s">
        <v>28</v>
      </c>
      <c r="B1" s="1"/>
      <c r="C1" s="1"/>
      <c r="D1" s="1"/>
    </row>
    <row r="2" customFormat="false" ht="15" hidden="false" customHeight="false" outlineLevel="0" collapsed="false">
      <c r="A2" s="2" t="s">
        <v>29</v>
      </c>
      <c r="B2" s="2"/>
      <c r="C2" s="2"/>
      <c r="D2" s="2"/>
    </row>
    <row r="4" customFormat="false" ht="1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33</v>
      </c>
    </row>
    <row r="5" customFormat="false" ht="15" hidden="false" customHeight="false" outlineLevel="0" collapsed="false">
      <c r="A5" s="21" t="s">
        <v>34</v>
      </c>
      <c r="B5" s="22" t="s">
        <v>35</v>
      </c>
      <c r="C5" s="23" t="n">
        <v>64</v>
      </c>
      <c r="D5" s="21" t="s">
        <v>36</v>
      </c>
    </row>
    <row r="6" customFormat="false" ht="15" hidden="false" customHeight="false" outlineLevel="0" collapsed="false">
      <c r="A6" s="21"/>
      <c r="B6" s="22" t="s">
        <v>37</v>
      </c>
      <c r="C6" s="23" t="n">
        <v>20</v>
      </c>
      <c r="D6" s="21" t="s">
        <v>36</v>
      </c>
    </row>
    <row r="7" customFormat="false" ht="15" hidden="false" customHeight="false" outlineLevel="0" collapsed="false">
      <c r="A7" s="21"/>
      <c r="B7" s="22" t="s">
        <v>38</v>
      </c>
      <c r="C7" s="23" t="n">
        <v>20</v>
      </c>
      <c r="D7" s="21" t="s">
        <v>36</v>
      </c>
    </row>
    <row r="8" customFormat="false" ht="15" hidden="false" customHeight="false" outlineLevel="0" collapsed="false">
      <c r="A8" s="21"/>
      <c r="B8" s="22" t="s">
        <v>39</v>
      </c>
      <c r="C8" s="23" t="n">
        <v>30</v>
      </c>
      <c r="D8" s="21" t="s">
        <v>36</v>
      </c>
    </row>
    <row r="9" customFormat="false" ht="15" hidden="false" customHeight="false" outlineLevel="0" collapsed="false">
      <c r="A9" s="21" t="s">
        <v>40</v>
      </c>
      <c r="B9" s="22" t="s">
        <v>41</v>
      </c>
      <c r="C9" s="23" t="n">
        <v>36</v>
      </c>
      <c r="D9" s="21" t="s">
        <v>42</v>
      </c>
    </row>
    <row r="10" customFormat="false" ht="15" hidden="false" customHeight="false" outlineLevel="0" collapsed="false">
      <c r="A10" s="21" t="s">
        <v>43</v>
      </c>
      <c r="B10" s="22" t="s">
        <v>44</v>
      </c>
      <c r="C10" s="24" t="n">
        <v>20000</v>
      </c>
      <c r="D10" s="21" t="s">
        <v>45</v>
      </c>
    </row>
    <row r="11" customFormat="false" ht="15" hidden="false" customHeight="false" outlineLevel="0" collapsed="false">
      <c r="A11" s="21" t="s">
        <v>46</v>
      </c>
      <c r="B11" s="22" t="s">
        <v>47</v>
      </c>
      <c r="C11" s="24" t="n">
        <v>50000</v>
      </c>
      <c r="D11" s="21" t="s">
        <v>48</v>
      </c>
    </row>
    <row r="12" customFormat="false" ht="15" hidden="false" customHeight="false" outlineLevel="0" collapsed="false">
      <c r="A12" s="21"/>
      <c r="B12" s="22" t="s">
        <v>49</v>
      </c>
      <c r="C12" s="18" t="n">
        <f aca="false">Farmer_Season_Salary/2/Own_Labor_Hours</f>
        <v>34.7222222222222</v>
      </c>
      <c r="D12" s="21" t="s">
        <v>50</v>
      </c>
    </row>
    <row r="13" customFormat="false" ht="15" hidden="false" customHeight="false" outlineLevel="0" collapsed="false">
      <c r="A13" s="21"/>
      <c r="B13" s="22" t="s">
        <v>51</v>
      </c>
      <c r="C13" s="23" t="n">
        <v>720</v>
      </c>
      <c r="D13" s="21" t="s">
        <v>52</v>
      </c>
    </row>
    <row r="14" customFormat="false" ht="15" hidden="false" customHeight="false" outlineLevel="0" collapsed="false">
      <c r="A14" s="21"/>
      <c r="B14" s="22" t="s">
        <v>53</v>
      </c>
      <c r="C14" s="23" t="n">
        <v>4</v>
      </c>
      <c r="D14" s="21" t="s">
        <v>54</v>
      </c>
    </row>
    <row r="15" customFormat="false" ht="15" hidden="false" customHeight="false" outlineLevel="0" collapsed="false">
      <c r="A15" s="21"/>
      <c r="B15" s="22" t="s">
        <v>55</v>
      </c>
      <c r="C15" s="23" t="n">
        <v>1440</v>
      </c>
      <c r="D15" s="21" t="s">
        <v>56</v>
      </c>
    </row>
    <row r="16" customFormat="false" ht="15" hidden="false" customHeight="false" outlineLevel="0" collapsed="false">
      <c r="A16" s="21"/>
      <c r="B16" s="22" t="s">
        <v>57</v>
      </c>
      <c r="C16" s="24" t="n">
        <v>25000</v>
      </c>
      <c r="D16" s="21" t="s">
        <v>58</v>
      </c>
    </row>
    <row r="17" customFormat="false" ht="15" hidden="false" customHeight="false" outlineLevel="0" collapsed="false">
      <c r="A17" s="21"/>
      <c r="B17" s="22" t="s">
        <v>59</v>
      </c>
      <c r="C17" s="18" t="n">
        <f aca="false">Temp_Worker_Flat_Cost/Temp_Worker_Hours</f>
        <v>17.3611111111111</v>
      </c>
      <c r="D17" s="21" t="s">
        <v>50</v>
      </c>
    </row>
    <row r="18" customFormat="false" ht="15" hidden="false" customHeight="false" outlineLevel="0" collapsed="false">
      <c r="A18" s="21" t="s">
        <v>60</v>
      </c>
      <c r="B18" s="22" t="s">
        <v>61</v>
      </c>
      <c r="C18" s="24" t="n">
        <v>8800</v>
      </c>
      <c r="D18" s="21" t="s">
        <v>62</v>
      </c>
    </row>
    <row r="19" customFormat="false" ht="15" hidden="false" customHeight="false" outlineLevel="0" collapsed="false">
      <c r="A19" s="21"/>
      <c r="B19" s="22" t="s">
        <v>63</v>
      </c>
      <c r="C19" s="24" t="n">
        <v>2094</v>
      </c>
      <c r="D19" s="21" t="s">
        <v>62</v>
      </c>
    </row>
    <row r="20" customFormat="false" ht="15" hidden="false" customHeight="false" outlineLevel="0" collapsed="false">
      <c r="A20" s="21"/>
      <c r="B20" s="22" t="s">
        <v>64</v>
      </c>
      <c r="C20" s="24" t="n">
        <v>2700</v>
      </c>
      <c r="D20" s="21" t="s">
        <v>62</v>
      </c>
    </row>
    <row r="21" customFormat="false" ht="15" hidden="false" customHeight="false" outlineLevel="0" collapsed="false">
      <c r="A21" s="21"/>
      <c r="B21" s="22" t="s">
        <v>65</v>
      </c>
      <c r="C21" s="24" t="n">
        <v>880</v>
      </c>
      <c r="D21" s="21" t="s">
        <v>62</v>
      </c>
    </row>
    <row r="22" customFormat="false" ht="15" hidden="false" customHeight="false" outlineLevel="0" collapsed="false">
      <c r="A22" s="21"/>
      <c r="B22" s="22" t="s">
        <v>66</v>
      </c>
      <c r="C22" s="24" t="n">
        <v>440</v>
      </c>
      <c r="D22" s="21" t="s">
        <v>62</v>
      </c>
    </row>
    <row r="23" customFormat="false" ht="15" hidden="false" customHeight="false" outlineLevel="0" collapsed="false">
      <c r="A23" s="21"/>
      <c r="B23" s="22" t="s">
        <v>67</v>
      </c>
      <c r="C23" s="24" t="n">
        <v>880</v>
      </c>
      <c r="D23" s="21" t="s">
        <v>62</v>
      </c>
    </row>
    <row r="24" customFormat="false" ht="15" hidden="false" customHeight="false" outlineLevel="0" collapsed="false">
      <c r="A24" s="21"/>
      <c r="B24" s="22" t="s">
        <v>68</v>
      </c>
      <c r="C24" s="25" t="n">
        <v>2.5</v>
      </c>
      <c r="D24" s="21" t="s">
        <v>69</v>
      </c>
    </row>
    <row r="25" customFormat="false" ht="15" hidden="false" customHeight="false" outlineLevel="0" collapsed="false">
      <c r="A25" s="21"/>
      <c r="B25" s="22" t="s">
        <v>70</v>
      </c>
      <c r="C25" s="26" t="n">
        <f aca="false">C24/3</f>
        <v>0.833333333333333</v>
      </c>
      <c r="D25" s="21" t="s">
        <v>69</v>
      </c>
    </row>
    <row r="26" customFormat="false" ht="15" hidden="false" customHeight="false" outlineLevel="0" collapsed="false">
      <c r="A26" s="21"/>
      <c r="B26" s="22" t="s">
        <v>71</v>
      </c>
      <c r="C26" s="25" t="n">
        <v>1.25</v>
      </c>
      <c r="D26" s="21" t="s">
        <v>69</v>
      </c>
    </row>
    <row r="27" customFormat="false" ht="15" hidden="false" customHeight="false" outlineLevel="0" collapsed="false">
      <c r="A27" s="21"/>
      <c r="B27" s="22" t="s">
        <v>72</v>
      </c>
      <c r="C27" s="27" t="n">
        <v>0.1</v>
      </c>
      <c r="D27" s="21" t="s">
        <v>73</v>
      </c>
    </row>
    <row r="28" customFormat="false" ht="15" hidden="false" customHeight="false" outlineLevel="0" collapsed="false">
      <c r="A28" s="21"/>
      <c r="B28" s="22" t="s">
        <v>74</v>
      </c>
      <c r="C28" s="27" t="n">
        <v>0.025</v>
      </c>
      <c r="D28" s="21" t="s">
        <v>73</v>
      </c>
    </row>
    <row r="29" customFormat="false" ht="15" hidden="false" customHeight="false" outlineLevel="0" collapsed="false">
      <c r="A29" s="21"/>
      <c r="B29" s="22" t="s">
        <v>75</v>
      </c>
      <c r="C29" s="27" t="n">
        <v>0.0125</v>
      </c>
      <c r="D29" s="21" t="s">
        <v>73</v>
      </c>
    </row>
  </sheetData>
  <sheetProtection sheet="true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3"/>
    <col collapsed="false" customWidth="true" hidden="false" outlineLevel="0" max="7" min="7" style="0" width="2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4" min="10" style="0" width="13"/>
    <col collapsed="false" customWidth="true" hidden="false" outlineLevel="0" max="15" min="15" style="0" width="7"/>
    <col collapsed="false" customWidth="true" hidden="false" outlineLevel="0" max="16" min="16" style="0" width="8"/>
    <col collapsed="false" customWidth="true" hidden="false" outlineLevel="0" max="21" min="17" style="0" width="13"/>
    <col collapsed="false" customWidth="true" hidden="false" outlineLevel="0" max="22" min="22" style="0" width="7"/>
  </cols>
  <sheetData>
    <row r="1" customFormat="false" ht="17.35" hidden="false" customHeight="false" outlineLevel="0" collapsed="false">
      <c r="A1" s="1" t="s">
        <v>76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B3" s="28" t="s">
        <v>8</v>
      </c>
      <c r="C3" s="28"/>
      <c r="D3" s="28"/>
      <c r="E3" s="28"/>
      <c r="F3" s="28"/>
      <c r="G3" s="28"/>
      <c r="I3" s="28" t="s">
        <v>9</v>
      </c>
      <c r="J3" s="28"/>
      <c r="K3" s="28"/>
      <c r="L3" s="28"/>
      <c r="M3" s="28"/>
      <c r="N3" s="28"/>
      <c r="P3" s="28" t="s">
        <v>10</v>
      </c>
      <c r="Q3" s="28"/>
      <c r="R3" s="28"/>
      <c r="S3" s="28"/>
      <c r="T3" s="28"/>
      <c r="U3" s="28"/>
    </row>
    <row r="4" customFormat="false" ht="166.4" hidden="false" customHeight="false" outlineLevel="0" collapsed="false">
      <c r="B4" s="29" t="s">
        <v>78</v>
      </c>
      <c r="C4" s="29" t="s">
        <v>79</v>
      </c>
      <c r="D4" s="29" t="s">
        <v>80</v>
      </c>
      <c r="E4" s="29" t="s">
        <v>81</v>
      </c>
      <c r="F4" s="29" t="s">
        <v>82</v>
      </c>
      <c r="G4" s="29" t="s">
        <v>83</v>
      </c>
      <c r="H4" s="29" t="s">
        <v>84</v>
      </c>
      <c r="I4" s="29" t="s">
        <v>78</v>
      </c>
      <c r="J4" s="29" t="s">
        <v>79</v>
      </c>
      <c r="K4" s="29" t="s">
        <v>80</v>
      </c>
      <c r="L4" s="29" t="s">
        <v>81</v>
      </c>
      <c r="M4" s="29" t="s">
        <v>82</v>
      </c>
      <c r="N4" s="29" t="s">
        <v>83</v>
      </c>
      <c r="O4" s="29" t="s">
        <v>84</v>
      </c>
      <c r="P4" s="29" t="s">
        <v>78</v>
      </c>
      <c r="Q4" s="29" t="s">
        <v>79</v>
      </c>
      <c r="R4" s="29" t="s">
        <v>80</v>
      </c>
      <c r="S4" s="29" t="s">
        <v>81</v>
      </c>
      <c r="T4" s="29" t="s">
        <v>82</v>
      </c>
      <c r="U4" s="29" t="s">
        <v>83</v>
      </c>
      <c r="V4" s="29" t="s">
        <v>84</v>
      </c>
    </row>
    <row r="5" customFormat="false" ht="15" hidden="false" customHeight="false" outlineLevel="0" collapsed="false">
      <c r="B5" s="17" t="n">
        <f aca="false">ROW()-4</f>
        <v>1</v>
      </c>
      <c r="C5" s="30" t="n">
        <f aca="false">(B5*Tomato_Base_Labor_Hrs_Wk_Bed*Season_Weeks*(1+Tomato_Diminishing_Rate)^B5)-((B5-1)*Tomato_Base_Labor_Hrs_Wk_Bed*Season_Weeks*(1+Tomato_Diminishing_Rate)^(B5-1))</f>
        <v>99</v>
      </c>
      <c r="D5" s="30" t="n">
        <f aca="false">SUM($C$5:C5)</f>
        <v>99</v>
      </c>
      <c r="E5" s="18" t="n">
        <f aca="false">MAX(0,MIN(D5,Own_Labor_Hours)-MIN((D5-C5),Own_Labor_Hours))*Farmer_Implied_Wage+(C5-MAX(0,MIN(D5,Own_Labor_Hours)-MIN((D5-C5),Own_Labor_Hours)))*Temp_Wage_Per_Hour+Tomato_Fertilizer_Per_Bed</f>
        <v>4317.5</v>
      </c>
      <c r="F5" s="31" t="n">
        <f aca="false">Tomato_Price-E5</f>
        <v>4482.5</v>
      </c>
      <c r="G5" s="31" t="n">
        <f aca="false">SUM($F$5:F5)</f>
        <v>4482.5</v>
      </c>
      <c r="H5" s="32" t="b">
        <f aca="false">AND(TRUE(),F5&gt;=0)</f>
        <v>1</v>
      </c>
      <c r="I5" s="17" t="n">
        <f aca="false">ROW()-4</f>
        <v>1</v>
      </c>
      <c r="J5" s="30" t="n">
        <f aca="false">(I5*Carrot_Base_Labor_Hrs_Wk_Bed*Season_Weeks*(1+Carrot_Diminishing_Rate)^I5)-((I5-1)*Carrot_Base_Labor_Hrs_Wk_Bed*Season_Weeks*(1+Carrot_Diminishing_Rate)^(I5-1))</f>
        <v>30.75</v>
      </c>
      <c r="K5" s="30" t="n">
        <f aca="false">SUM($J$5:J5)</f>
        <v>30.75</v>
      </c>
      <c r="L5" s="18" t="n">
        <f aca="false">MAX(0,MIN(K5,Own_Labor_Hours)-MIN((K5-J5),Own_Labor_Hours))*Farmer_Implied_Wage+(J5-MAX(0,MIN(K5,Own_Labor_Hours)-MIN((K5-J5),Own_Labor_Hours)))*Temp_Wage_Per_Hour+Carrot_Fertilizer_Per_Bed</f>
        <v>1507.70833333333</v>
      </c>
      <c r="M5" s="31" t="n">
        <f aca="false">Carrot_Price-L5</f>
        <v>586.291666666667</v>
      </c>
      <c r="N5" s="31" t="n">
        <f aca="false">SUM($M$5:M5)</f>
        <v>586.291666666667</v>
      </c>
      <c r="O5" s="32" t="b">
        <f aca="false">AND(TRUE(),M5&gt;=0)</f>
        <v>1</v>
      </c>
      <c r="P5" s="17" t="n">
        <f aca="false">ROW()-4</f>
        <v>1</v>
      </c>
      <c r="Q5" s="30" t="n">
        <f aca="false">(P5*Mesclun_Base_Labor_Hrs_Wk_Bed*Season_Weeks*(1+Mesclun_Diminishing_Rate)^P5)-((P5-1)*Mesclun_Base_Labor_Hrs_Wk_Bed*Season_Weeks*(1+Mesclun_Diminishing_Rate)^(P5-1))</f>
        <v>45.5625</v>
      </c>
      <c r="R5" s="30" t="n">
        <f aca="false">SUM($Q$5:Q5)</f>
        <v>45.5625</v>
      </c>
      <c r="S5" s="18" t="n">
        <f aca="false">MAX(0,MIN(R5,Own_Labor_Hours)-MIN((R5-Q5),Own_Labor_Hours))*Farmer_Implied_Wage+(Q5-MAX(0,MIN(R5,Own_Labor_Hours)-MIN((R5-Q5),Own_Labor_Hours)))*Temp_Wage_Per_Hour+Mesclun_Fertilizer_Per_Bed</f>
        <v>2462.03125</v>
      </c>
      <c r="T5" s="31" t="n">
        <f aca="false">Mesclun_Price-S5</f>
        <v>237.96875</v>
      </c>
      <c r="U5" s="31" t="n">
        <f aca="false">SUM($T$5:T5)</f>
        <v>237.96875</v>
      </c>
      <c r="V5" s="32" t="b">
        <f aca="false">AND(TRUE(),T5&gt;=0)</f>
        <v>1</v>
      </c>
    </row>
    <row r="6" customFormat="false" ht="15" hidden="false" customHeight="false" outlineLevel="0" collapsed="false">
      <c r="B6" s="17" t="n">
        <f aca="false">ROW()-4</f>
        <v>2</v>
      </c>
      <c r="C6" s="30" t="n">
        <f aca="false">(B6*Tomato_Base_Labor_Hrs_Wk_Bed*Season_Weeks*(1+Tomato_Diminishing_Rate)^B6)-((B6-1)*Tomato_Base_Labor_Hrs_Wk_Bed*Season_Weeks*(1+Tomato_Diminishing_Rate)^(B6-1))</f>
        <v>118.8</v>
      </c>
      <c r="D6" s="30" t="n">
        <f aca="false">SUM($C$5:C6)</f>
        <v>217.8</v>
      </c>
      <c r="E6" s="18" t="n">
        <f aca="false">MAX(0,MIN(D6,Own_Labor_Hours)-MIN((D6-C6),Own_Labor_Hours))*Farmer_Implied_Wage+(C6-MAX(0,MIN(D6,Own_Labor_Hours)-MIN((D6-C6),Own_Labor_Hours)))*Temp_Wage_Per_Hour+Tomato_Fertilizer_Per_Bed</f>
        <v>5005</v>
      </c>
      <c r="F6" s="31" t="n">
        <f aca="false">Tomato_Price-E6</f>
        <v>3795</v>
      </c>
      <c r="G6" s="31" t="n">
        <f aca="false">SUM($F$5:F6)</f>
        <v>8277.5</v>
      </c>
      <c r="H6" s="32" t="b">
        <f aca="false">AND(H5,F6&gt;=0)</f>
        <v>1</v>
      </c>
      <c r="I6" s="17" t="n">
        <f aca="false">ROW()-4</f>
        <v>2</v>
      </c>
      <c r="J6" s="30" t="n">
        <f aca="false">(I6*Carrot_Base_Labor_Hrs_Wk_Bed*Season_Weeks*(1+Carrot_Diminishing_Rate)^I6)-((I6-1)*Carrot_Base_Labor_Hrs_Wk_Bed*Season_Weeks*(1+Carrot_Diminishing_Rate)^(I6-1))</f>
        <v>32.2875</v>
      </c>
      <c r="K6" s="30" t="n">
        <f aca="false">SUM($J$5:J6)</f>
        <v>63.0375</v>
      </c>
      <c r="L6" s="18" t="n">
        <f aca="false">MAX(0,MIN(K6,Own_Labor_Hours)-MIN((K6-J6),Own_Labor_Hours))*Farmer_Implied_Wage+(J6-MAX(0,MIN(K6,Own_Labor_Hours)-MIN((K6-J6),Own_Labor_Hours)))*Temp_Wage_Per_Hour+Carrot_Fertilizer_Per_Bed</f>
        <v>1561.09375</v>
      </c>
      <c r="M6" s="31" t="n">
        <f aca="false">Carrot_Price-L6</f>
        <v>532.90625</v>
      </c>
      <c r="N6" s="31" t="n">
        <f aca="false">SUM($M$5:M6)</f>
        <v>1119.19791666667</v>
      </c>
      <c r="O6" s="32" t="b">
        <f aca="false">AND(O5,M6&gt;=0)</f>
        <v>1</v>
      </c>
      <c r="P6" s="17" t="n">
        <f aca="false">ROW()-4</f>
        <v>2</v>
      </c>
      <c r="Q6" s="30" t="n">
        <f aca="false">(P6*Mesclun_Base_Labor_Hrs_Wk_Bed*Season_Weeks*(1+Mesclun_Diminishing_Rate)^P6)-((P6-1)*Mesclun_Base_Labor_Hrs_Wk_Bed*Season_Weeks*(1+Mesclun_Diminishing_Rate)^(P6-1))</f>
        <v>46.7015625</v>
      </c>
      <c r="R6" s="30" t="n">
        <f aca="false">SUM($Q$5:Q6)</f>
        <v>92.2640625</v>
      </c>
      <c r="S6" s="18" t="n">
        <f aca="false">MAX(0,MIN(R6,Own_Labor_Hours)-MIN((R6-Q6),Own_Labor_Hours))*Farmer_Implied_Wage+(Q6-MAX(0,MIN(R6,Own_Labor_Hours)-MIN((R6-Q6),Own_Labor_Hours)))*Temp_Wage_Per_Hour+Mesclun_Fertilizer_Per_Bed</f>
        <v>2501.58203125</v>
      </c>
      <c r="T6" s="31" t="n">
        <f aca="false">Mesclun_Price-S6</f>
        <v>198.41796875</v>
      </c>
      <c r="U6" s="31" t="n">
        <f aca="false">SUM($T$5:T6)</f>
        <v>436.38671875</v>
      </c>
      <c r="V6" s="32" t="b">
        <f aca="false">AND(V5,T6&gt;=0)</f>
        <v>1</v>
      </c>
    </row>
    <row r="7" customFormat="false" ht="15" hidden="false" customHeight="false" outlineLevel="0" collapsed="false">
      <c r="B7" s="17" t="n">
        <f aca="false">ROW()-4</f>
        <v>3</v>
      </c>
      <c r="C7" s="30" t="n">
        <f aca="false">(B7*Tomato_Base_Labor_Hrs_Wk_Bed*Season_Weeks*(1+Tomato_Diminishing_Rate)^B7)-((B7-1)*Tomato_Base_Labor_Hrs_Wk_Bed*Season_Weeks*(1+Tomato_Diminishing_Rate)^(B7-1))</f>
        <v>141.57</v>
      </c>
      <c r="D7" s="30" t="n">
        <f aca="false">SUM($C$5:C7)</f>
        <v>359.37</v>
      </c>
      <c r="E7" s="18" t="n">
        <f aca="false">MAX(0,MIN(D7,Own_Labor_Hours)-MIN((D7-C7),Own_Labor_Hours))*Farmer_Implied_Wage+(C7-MAX(0,MIN(D7,Own_Labor_Hours)-MIN((D7-C7),Own_Labor_Hours)))*Temp_Wage_Per_Hour+Tomato_Fertilizer_Per_Bed</f>
        <v>5795.625</v>
      </c>
      <c r="F7" s="31" t="n">
        <f aca="false">Tomato_Price-E7</f>
        <v>3004.375</v>
      </c>
      <c r="G7" s="31" t="n">
        <f aca="false">SUM($F$5:F7)</f>
        <v>11281.875</v>
      </c>
      <c r="H7" s="32" t="b">
        <f aca="false">AND(H6,F7&gt;=0)</f>
        <v>1</v>
      </c>
      <c r="I7" s="17" t="n">
        <f aca="false">ROW()-4</f>
        <v>3</v>
      </c>
      <c r="J7" s="30" t="n">
        <f aca="false">(I7*Carrot_Base_Labor_Hrs_Wk_Bed*Season_Weeks*(1+Carrot_Diminishing_Rate)^I7)-((I7-1)*Carrot_Base_Labor_Hrs_Wk_Bed*Season_Weeks*(1+Carrot_Diminishing_Rate)^(I7-1))</f>
        <v>33.88265625</v>
      </c>
      <c r="K7" s="30" t="n">
        <f aca="false">SUM($J$5:J7)</f>
        <v>96.92015625</v>
      </c>
      <c r="L7" s="18" t="n">
        <f aca="false">MAX(0,MIN(K7,Own_Labor_Hours)-MIN((K7-J7),Own_Labor_Hours))*Farmer_Implied_Wage+(J7-MAX(0,MIN(K7,Own_Labor_Hours)-MIN((K7-J7),Own_Labor_Hours)))*Temp_Wage_Per_Hour+Carrot_Fertilizer_Per_Bed</f>
        <v>1616.48111979167</v>
      </c>
      <c r="M7" s="31" t="n">
        <f aca="false">Carrot_Price-L7</f>
        <v>477.518880208334</v>
      </c>
      <c r="N7" s="31" t="n">
        <f aca="false">SUM($M$5:M7)</f>
        <v>1596.716796875</v>
      </c>
      <c r="O7" s="32" t="b">
        <f aca="false">AND(O6,M7&gt;=0)</f>
        <v>1</v>
      </c>
      <c r="P7" s="17" t="n">
        <f aca="false">ROW()-4</f>
        <v>3</v>
      </c>
      <c r="Q7" s="30" t="n">
        <f aca="false">(P7*Mesclun_Base_Labor_Hrs_Wk_Bed*Season_Weeks*(1+Mesclun_Diminishing_Rate)^P7)-((P7-1)*Mesclun_Base_Labor_Hrs_Wk_Bed*Season_Weeks*(1+Mesclun_Diminishing_Rate)^(P7-1))</f>
        <v>47.861982421875</v>
      </c>
      <c r="R7" s="30" t="n">
        <f aca="false">SUM($Q$5:Q7)</f>
        <v>140.126044921875</v>
      </c>
      <c r="S7" s="18" t="n">
        <f aca="false">MAX(0,MIN(R7,Own_Labor_Hours)-MIN((R7-Q7),Own_Labor_Hours))*Farmer_Implied_Wage+(Q7-MAX(0,MIN(R7,Own_Labor_Hours)-MIN((R7-Q7),Own_Labor_Hours)))*Temp_Wage_Per_Hour+Mesclun_Fertilizer_Per_Bed</f>
        <v>2541.87438964844</v>
      </c>
      <c r="T7" s="31" t="n">
        <f aca="false">Mesclun_Price-S7</f>
        <v>158.125610351563</v>
      </c>
      <c r="U7" s="31" t="n">
        <f aca="false">SUM($T$5:T7)</f>
        <v>594.512329101563</v>
      </c>
      <c r="V7" s="32" t="b">
        <f aca="false">AND(V6,T7&gt;=0)</f>
        <v>1</v>
      </c>
    </row>
    <row r="8" customFormat="false" ht="15" hidden="false" customHeight="false" outlineLevel="0" collapsed="false">
      <c r="B8" s="17" t="n">
        <f aca="false">ROW()-4</f>
        <v>4</v>
      </c>
      <c r="C8" s="30" t="n">
        <f aca="false">(B8*Tomato_Base_Labor_Hrs_Wk_Bed*Season_Weeks*(1+Tomato_Diminishing_Rate)^B8)-((B8-1)*Tomato_Base_Labor_Hrs_Wk_Bed*Season_Weeks*(1+Tomato_Diminishing_Rate)^(B8-1))</f>
        <v>167.706</v>
      </c>
      <c r="D8" s="30" t="n">
        <f aca="false">SUM($C$5:C8)</f>
        <v>527.076</v>
      </c>
      <c r="E8" s="18" t="n">
        <f aca="false">MAX(0,MIN(D8,Own_Labor_Hours)-MIN((D8-C8),Own_Labor_Hours))*Farmer_Implied_Wage+(C8-MAX(0,MIN(D8,Own_Labor_Hours)-MIN((D8-C8),Own_Labor_Hours)))*Temp_Wage_Per_Hour+Tomato_Fertilizer_Per_Bed</f>
        <v>6703.125</v>
      </c>
      <c r="F8" s="31" t="n">
        <f aca="false">Tomato_Price-E8</f>
        <v>2096.875</v>
      </c>
      <c r="G8" s="31" t="n">
        <f aca="false">SUM($F$5:F8)</f>
        <v>13378.75</v>
      </c>
      <c r="H8" s="32" t="b">
        <f aca="false">AND(H7,F8&gt;=0)</f>
        <v>1</v>
      </c>
      <c r="I8" s="17" t="n">
        <f aca="false">ROW()-4</f>
        <v>4</v>
      </c>
      <c r="J8" s="30" t="n">
        <f aca="false">(I8*Carrot_Base_Labor_Hrs_Wk_Bed*Season_Weeks*(1+Carrot_Diminishing_Rate)^I8)-((I8-1)*Carrot_Base_Labor_Hrs_Wk_Bed*Season_Weeks*(1+Carrot_Diminishing_Rate)^(I8-1))</f>
        <v>35.537390625</v>
      </c>
      <c r="K8" s="30" t="n">
        <f aca="false">SUM($J$5:J8)</f>
        <v>132.457546875</v>
      </c>
      <c r="L8" s="18" t="n">
        <f aca="false">MAX(0,MIN(K8,Own_Labor_Hours)-MIN((K8-J8),Own_Labor_Hours))*Farmer_Implied_Wage+(J8-MAX(0,MIN(K8,Own_Labor_Hours)-MIN((K8-J8),Own_Labor_Hours)))*Temp_Wage_Per_Hour+Carrot_Fertilizer_Per_Bed</f>
        <v>1673.93717447917</v>
      </c>
      <c r="M8" s="31" t="n">
        <f aca="false">Carrot_Price-L8</f>
        <v>420.062825520834</v>
      </c>
      <c r="N8" s="31" t="n">
        <f aca="false">SUM($M$5:M8)</f>
        <v>2016.77962239584</v>
      </c>
      <c r="O8" s="32" t="b">
        <f aca="false">AND(O7,M8&gt;=0)</f>
        <v>1</v>
      </c>
      <c r="P8" s="17" t="n">
        <f aca="false">ROW()-4</f>
        <v>4</v>
      </c>
      <c r="Q8" s="30" t="n">
        <f aca="false">(P8*Mesclun_Base_Labor_Hrs_Wk_Bed*Season_Weeks*(1+Mesclun_Diminishing_Rate)^P8)-((P8-1)*Mesclun_Base_Labor_Hrs_Wk_Bed*Season_Weeks*(1+Mesclun_Diminishing_Rate)^(P8-1))</f>
        <v>49.0441157226562</v>
      </c>
      <c r="R8" s="30" t="n">
        <f aca="false">SUM($Q$5:Q8)</f>
        <v>189.170160644531</v>
      </c>
      <c r="S8" s="18" t="n">
        <f aca="false">MAX(0,MIN(R8,Own_Labor_Hours)-MIN((R8-Q8),Own_Labor_Hours))*Farmer_Implied_Wage+(Q8-MAX(0,MIN(R8,Own_Labor_Hours)-MIN((R8-Q8),Own_Labor_Hours)))*Temp_Wage_Per_Hour+Mesclun_Fertilizer_Per_Bed</f>
        <v>2582.92068481445</v>
      </c>
      <c r="T8" s="31" t="n">
        <f aca="false">Mesclun_Price-S8</f>
        <v>117.079315185548</v>
      </c>
      <c r="U8" s="31" t="n">
        <f aca="false">SUM($T$5:T8)</f>
        <v>711.591644287111</v>
      </c>
      <c r="V8" s="32" t="b">
        <f aca="false">AND(V7,T8&gt;=0)</f>
        <v>1</v>
      </c>
    </row>
    <row r="9" customFormat="false" ht="15" hidden="false" customHeight="false" outlineLevel="0" collapsed="false">
      <c r="B9" s="17" t="n">
        <f aca="false">ROW()-4</f>
        <v>5</v>
      </c>
      <c r="C9" s="30" t="n">
        <f aca="false">(B9*Tomato_Base_Labor_Hrs_Wk_Bed*Season_Weeks*(1+Tomato_Diminishing_Rate)^B9)-((B9-1)*Tomato_Base_Labor_Hrs_Wk_Bed*Season_Weeks*(1+Tomato_Diminishing_Rate)^(B9-1))</f>
        <v>197.6535</v>
      </c>
      <c r="D9" s="30" t="n">
        <f aca="false">SUM($C$5:C9)</f>
        <v>724.7295</v>
      </c>
      <c r="E9" s="18" t="n">
        <f aca="false">MAX(0,MIN(D9,Own_Labor_Hours)-MIN((D9-C9),Own_Labor_Hours))*Farmer_Implied_Wage+(C9-MAX(0,MIN(D9,Own_Labor_Hours)-MIN((D9-C9),Own_Labor_Hours)))*Temp_Wage_Per_Hour+Tomato_Fertilizer_Per_Bed</f>
        <v>7660.859375</v>
      </c>
      <c r="F9" s="31" t="n">
        <f aca="false">Tomato_Price-E9</f>
        <v>1139.140625</v>
      </c>
      <c r="G9" s="31" t="n">
        <f aca="false">SUM($F$5:F9)</f>
        <v>14517.890625</v>
      </c>
      <c r="H9" s="32" t="b">
        <f aca="false">AND(H8,F9&gt;=0)</f>
        <v>1</v>
      </c>
      <c r="I9" s="17" t="n">
        <f aca="false">ROW()-4</f>
        <v>5</v>
      </c>
      <c r="J9" s="30" t="n">
        <f aca="false">(I9*Carrot_Base_Labor_Hrs_Wk_Bed*Season_Weeks*(1+Carrot_Diminishing_Rate)^I9)-((I9-1)*Carrot_Base_Labor_Hrs_Wk_Bed*Season_Weeks*(1+Carrot_Diminishing_Rate)^(I9-1))</f>
        <v>37.2536850585937</v>
      </c>
      <c r="K9" s="30" t="n">
        <f aca="false">SUM($J$5:J9)</f>
        <v>169.711231933594</v>
      </c>
      <c r="L9" s="18" t="n">
        <f aca="false">MAX(0,MIN(K9,Own_Labor_Hours)-MIN((K9-J9),Own_Labor_Hours))*Farmer_Implied_Wage+(J9-MAX(0,MIN(K9,Own_Labor_Hours)-MIN((K9-J9),Own_Labor_Hours)))*Temp_Wage_Per_Hour+Carrot_Fertilizer_Per_Bed</f>
        <v>1733.53073120117</v>
      </c>
      <c r="M9" s="31" t="n">
        <f aca="false">Carrot_Price-L9</f>
        <v>360.469268798829</v>
      </c>
      <c r="N9" s="31" t="n">
        <f aca="false">SUM($M$5:M9)</f>
        <v>2377.24889119467</v>
      </c>
      <c r="O9" s="32" t="b">
        <f aca="false">AND(O8,M9&gt;=0)</f>
        <v>1</v>
      </c>
      <c r="P9" s="17" t="n">
        <f aca="false">ROW()-4</f>
        <v>5</v>
      </c>
      <c r="Q9" s="30" t="n">
        <f aca="false">(P9*Mesclun_Base_Labor_Hrs_Wk_Bed*Season_Weeks*(1+Mesclun_Diminishing_Rate)^P9)-((P9-1)*Mesclun_Base_Labor_Hrs_Wk_Bed*Season_Weeks*(1+Mesclun_Diminishing_Rate)^(P9-1))</f>
        <v>50.2483239212036</v>
      </c>
      <c r="R9" s="30" t="n">
        <f aca="false">SUM($Q$5:Q9)</f>
        <v>239.418484565735</v>
      </c>
      <c r="S9" s="18" t="n">
        <f aca="false">MAX(0,MIN(R9,Own_Labor_Hours)-MIN((R9-Q9),Own_Labor_Hours))*Farmer_Implied_Wage+(Q9-MAX(0,MIN(R9,Own_Labor_Hours)-MIN((R9-Q9),Own_Labor_Hours)))*Temp_Wage_Per_Hour+Mesclun_Fertilizer_Per_Bed</f>
        <v>2624.73346948624</v>
      </c>
      <c r="T9" s="31" t="n">
        <f aca="false">Mesclun_Price-S9</f>
        <v>75.2665305137634</v>
      </c>
      <c r="U9" s="31" t="n">
        <f aca="false">SUM($T$5:T9)</f>
        <v>786.858174800875</v>
      </c>
      <c r="V9" s="32" t="b">
        <f aca="false">AND(V8,T9&gt;=0)</f>
        <v>1</v>
      </c>
    </row>
    <row r="10" customFormat="false" ht="15" hidden="false" customHeight="false" outlineLevel="0" collapsed="false">
      <c r="B10" s="17" t="n">
        <f aca="false">ROW()-4</f>
        <v>6</v>
      </c>
      <c r="C10" s="30" t="n">
        <f aca="false">(B10*Tomato_Base_Labor_Hrs_Wk_Bed*Season_Weeks*(1+Tomato_Diminishing_Rate)^B10)-((B10-1)*Tomato_Base_Labor_Hrs_Wk_Bed*Season_Weeks*(1+Tomato_Diminishing_Rate)^(B10-1))</f>
        <v>231.91344</v>
      </c>
      <c r="D10" s="30" t="n">
        <f aca="false">SUM($C$5:C10)</f>
        <v>956.64294</v>
      </c>
      <c r="E10" s="18" t="n">
        <f aca="false">MAX(0,MIN(D10,Own_Labor_Hours)-MIN((D10-C10),Own_Labor_Hours))*Farmer_Implied_Wage+(C10-MAX(0,MIN(D10,Own_Labor_Hours)-MIN((D10-C10),Own_Labor_Hours)))*Temp_Wage_Per_Hour+Tomato_Fertilizer_Per_Bed</f>
        <v>4906.275</v>
      </c>
      <c r="F10" s="31" t="n">
        <f aca="false">Tomato_Price-E10</f>
        <v>3893.725</v>
      </c>
      <c r="G10" s="31" t="n">
        <f aca="false">SUM($F$5:F10)</f>
        <v>18411.615625</v>
      </c>
      <c r="H10" s="32" t="b">
        <f aca="false">AND(H9,F10&gt;=0)</f>
        <v>1</v>
      </c>
      <c r="I10" s="17" t="n">
        <f aca="false">ROW()-4</f>
        <v>6</v>
      </c>
      <c r="J10" s="30" t="n">
        <f aca="false">(I10*Carrot_Base_Labor_Hrs_Wk_Bed*Season_Weeks*(1+Carrot_Diminishing_Rate)^I10)-((I10-1)*Carrot_Base_Labor_Hrs_Wk_Bed*Season_Weeks*(1+Carrot_Diminishing_Rate)^(I10-1))</f>
        <v>39.0335833447265</v>
      </c>
      <c r="K10" s="30" t="n">
        <f aca="false">SUM($J$5:J10)</f>
        <v>208.74481527832</v>
      </c>
      <c r="L10" s="18" t="n">
        <f aca="false">MAX(0,MIN(K10,Own_Labor_Hours)-MIN((K10-J10),Own_Labor_Hours))*Farmer_Implied_Wage+(J10-MAX(0,MIN(K10,Own_Labor_Hours)-MIN((K10-J10),Own_Labor_Hours)))*Temp_Wage_Per_Hour+Carrot_Fertilizer_Per_Bed</f>
        <v>1795.33275502523</v>
      </c>
      <c r="M10" s="31" t="n">
        <f aca="false">Carrot_Price-L10</f>
        <v>298.667244974773</v>
      </c>
      <c r="N10" s="31" t="n">
        <f aca="false">SUM($M$5:M10)</f>
        <v>2675.91613616944</v>
      </c>
      <c r="O10" s="32" t="b">
        <f aca="false">AND(O9,M10&gt;=0)</f>
        <v>1</v>
      </c>
      <c r="P10" s="17" t="n">
        <f aca="false">ROW()-4</f>
        <v>6</v>
      </c>
      <c r="Q10" s="30" t="n">
        <f aca="false">(P10*Mesclun_Base_Labor_Hrs_Wk_Bed*Season_Weeks*(1+Mesclun_Diminishing_Rate)^P10)-((P10-1)*Mesclun_Base_Labor_Hrs_Wk_Bed*Season_Weeks*(1+Mesclun_Diminishing_Rate)^(P10-1))</f>
        <v>51.4749741816329</v>
      </c>
      <c r="R10" s="30" t="n">
        <f aca="false">SUM($Q$5:Q10)</f>
        <v>290.893458747368</v>
      </c>
      <c r="S10" s="18" t="n">
        <f aca="false">MAX(0,MIN(R10,Own_Labor_Hours)-MIN((R10-Q10),Own_Labor_Hours))*Farmer_Implied_Wage+(Q10-MAX(0,MIN(R10,Own_Labor_Hours)-MIN((R10-Q10),Own_Labor_Hours)))*Temp_Wage_Per_Hour+Mesclun_Fertilizer_Per_Bed</f>
        <v>2667.32549241781</v>
      </c>
      <c r="T10" s="31" t="n">
        <f aca="false">Mesclun_Price-S10</f>
        <v>32.6745075821905</v>
      </c>
      <c r="U10" s="31" t="n">
        <f aca="false">SUM($T$5:T10)</f>
        <v>819.532682383065</v>
      </c>
      <c r="V10" s="32" t="b">
        <f aca="false">AND(V9,T10&gt;=0)</f>
        <v>1</v>
      </c>
    </row>
    <row r="11" customFormat="false" ht="15" hidden="false" customHeight="false" outlineLevel="0" collapsed="false">
      <c r="B11" s="17" t="n">
        <f aca="false">ROW()-4</f>
        <v>7</v>
      </c>
      <c r="C11" s="30" t="n">
        <f aca="false">(B11*Tomato_Base_Labor_Hrs_Wk_Bed*Season_Weeks*(1+Tomato_Diminishing_Rate)^B11)-((B11-1)*Tomato_Base_Labor_Hrs_Wk_Bed*Season_Weeks*(1+Tomato_Diminishing_Rate)^(B11-1))</f>
        <v>271.048833</v>
      </c>
      <c r="D11" s="30" t="n">
        <f aca="false">SUM($C$5:C11)</f>
        <v>1227.691773</v>
      </c>
      <c r="E11" s="18" t="n">
        <f aca="false">MAX(0,MIN(D11,Own_Labor_Hours)-MIN((D11-C11),Own_Labor_Hours))*Farmer_Implied_Wage+(C11-MAX(0,MIN(D11,Own_Labor_Hours)-MIN((D11-C11),Own_Labor_Hours)))*Temp_Wage_Per_Hour+Tomato_Fertilizer_Per_Bed</f>
        <v>5585.70890625</v>
      </c>
      <c r="F11" s="31" t="n">
        <f aca="false">Tomato_Price-E11</f>
        <v>3214.29109375</v>
      </c>
      <c r="G11" s="31" t="n">
        <f aca="false">SUM($F$5:F11)</f>
        <v>21625.90671875</v>
      </c>
      <c r="H11" s="32" t="b">
        <f aca="false">AND(H10,F11&gt;=0)</f>
        <v>1</v>
      </c>
      <c r="I11" s="17" t="n">
        <f aca="false">ROW()-4</f>
        <v>7</v>
      </c>
      <c r="J11" s="30" t="n">
        <f aca="false">(I11*Carrot_Base_Labor_Hrs_Wk_Bed*Season_Weeks*(1+Carrot_Diminishing_Rate)^I11)-((I11-1)*Carrot_Base_Labor_Hrs_Wk_Bed*Season_Weeks*(1+Carrot_Diminishing_Rate)^(I11-1))</f>
        <v>40.8791929920044</v>
      </c>
      <c r="K11" s="30" t="n">
        <f aca="false">SUM($J$5:J11)</f>
        <v>249.624008270325</v>
      </c>
      <c r="L11" s="18" t="n">
        <f aca="false">MAX(0,MIN(K11,Own_Labor_Hours)-MIN((K11-J11),Own_Labor_Hours))*Farmer_Implied_Wage+(J11-MAX(0,MIN(K11,Own_Labor_Hours)-MIN((K11-J11),Own_Labor_Hours)))*Temp_Wage_Per_Hour+Carrot_Fertilizer_Per_Bed</f>
        <v>1859.41642333349</v>
      </c>
      <c r="M11" s="31" t="n">
        <f aca="false">Carrot_Price-L11</f>
        <v>234.583576666513</v>
      </c>
      <c r="N11" s="31" t="n">
        <f aca="false">SUM($M$5:M11)</f>
        <v>2910.49971283595</v>
      </c>
      <c r="O11" s="32" t="b">
        <f aca="false">AND(O10,M11&gt;=0)</f>
        <v>1</v>
      </c>
      <c r="P11" s="17" t="n">
        <f aca="false">ROW()-4</f>
        <v>7</v>
      </c>
      <c r="Q11" s="30" t="n">
        <f aca="false">(P11*Mesclun_Base_Labor_Hrs_Wk_Bed*Season_Weeks*(1+Mesclun_Diminishing_Rate)^P11)-((P11-1)*Mesclun_Base_Labor_Hrs_Wk_Bed*Season_Weeks*(1+Mesclun_Diminishing_Rate)^(P11-1))</f>
        <v>52.7244393979605</v>
      </c>
      <c r="R11" s="30" t="n">
        <f aca="false">SUM($Q$5:Q11)</f>
        <v>343.617898145328</v>
      </c>
      <c r="S11" s="18" t="n">
        <f aca="false">MAX(0,MIN(R11,Own_Labor_Hours)-MIN((R11-Q11),Own_Labor_Hours))*Farmer_Implied_Wage+(Q11-MAX(0,MIN(R11,Own_Labor_Hours)-MIN((R11-Q11),Own_Labor_Hours)))*Temp_Wage_Per_Hour+Mesclun_Fertilizer_Per_Bed</f>
        <v>2710.70970131807</v>
      </c>
      <c r="T11" s="31" t="n">
        <f aca="false">Mesclun_Price-S11</f>
        <v>-10.709701318071</v>
      </c>
      <c r="U11" s="31" t="n">
        <f aca="false">SUM($T$5:T11)</f>
        <v>808.822981064994</v>
      </c>
      <c r="V11" s="32" t="b">
        <f aca="false">AND(V10,T11&gt;=0)</f>
        <v>0</v>
      </c>
    </row>
    <row r="12" customFormat="false" ht="15" hidden="false" customHeight="false" outlineLevel="0" collapsed="false">
      <c r="B12" s="17" t="n">
        <f aca="false">ROW()-4</f>
        <v>8</v>
      </c>
      <c r="C12" s="30" t="n">
        <f aca="false">(B12*Tomato_Base_Labor_Hrs_Wk_Bed*Season_Weeks*(1+Tomato_Diminishing_Rate)^B12)-((B12-1)*Tomato_Base_Labor_Hrs_Wk_Bed*Season_Weeks*(1+Tomato_Diminishing_Rate)^(B12-1))</f>
        <v>315.6921702</v>
      </c>
      <c r="D12" s="30" t="n">
        <f aca="false">SUM($C$5:C12)</f>
        <v>1543.3839432</v>
      </c>
      <c r="E12" s="18" t="n">
        <f aca="false">MAX(0,MIN(D12,Own_Labor_Hours)-MIN((D12-C12),Own_Labor_Hours))*Farmer_Implied_Wage+(C12-MAX(0,MIN(D12,Own_Labor_Hours)-MIN((D12-C12),Own_Labor_Hours)))*Temp_Wage_Per_Hour+Tomato_Fertilizer_Per_Bed</f>
        <v>6360.76684375001</v>
      </c>
      <c r="F12" s="31" t="n">
        <f aca="false">Tomato_Price-E12</f>
        <v>2439.23315624999</v>
      </c>
      <c r="G12" s="31" t="n">
        <f aca="false">SUM($F$5:F12)</f>
        <v>24065.139875</v>
      </c>
      <c r="H12" s="32" t="b">
        <f aca="false">AND(H11,F12&gt;=0)</f>
        <v>1</v>
      </c>
      <c r="I12" s="17" t="n">
        <f aca="false">ROW()-4</f>
        <v>8</v>
      </c>
      <c r="J12" s="30" t="n">
        <f aca="false">(I12*Carrot_Base_Labor_Hrs_Wk_Bed*Season_Weeks*(1+Carrot_Diminishing_Rate)^I12)-((I12-1)*Carrot_Base_Labor_Hrs_Wk_Bed*Season_Weeks*(1+Carrot_Diminishing_Rate)^(I12-1))</f>
        <v>42.7926871320555</v>
      </c>
      <c r="K12" s="30" t="n">
        <f aca="false">SUM($J$5:J12)</f>
        <v>292.41669540238</v>
      </c>
      <c r="L12" s="18" t="n">
        <f aca="false">MAX(0,MIN(K12,Own_Labor_Hours)-MIN((K12-J12),Own_Labor_Hours))*Farmer_Implied_Wage+(J12-MAX(0,MIN(K12,Own_Labor_Hours)-MIN((K12-J12),Own_Labor_Hours)))*Temp_Wage_Per_Hour+Carrot_Fertilizer_Per_Bed</f>
        <v>1925.85719208526</v>
      </c>
      <c r="M12" s="31" t="n">
        <f aca="false">Carrot_Price-L12</f>
        <v>168.142807914739</v>
      </c>
      <c r="N12" s="31" t="n">
        <f aca="false">SUM($M$5:M12)</f>
        <v>3078.64252075069</v>
      </c>
      <c r="O12" s="32" t="b">
        <f aca="false">AND(O11,M12&gt;=0)</f>
        <v>1</v>
      </c>
      <c r="P12" s="17" t="n">
        <f aca="false">ROW()-4</f>
        <v>8</v>
      </c>
      <c r="Q12" s="30" t="n">
        <f aca="false">(P12*Mesclun_Base_Labor_Hrs_Wk_Bed*Season_Weeks*(1+Mesclun_Diminishing_Rate)^P12)-((P12-1)*Mesclun_Base_Labor_Hrs_Wk_Bed*Season_Weeks*(1+Mesclun_Diminishing_Rate)^(P12-1))</f>
        <v>53.9970982799802</v>
      </c>
      <c r="R12" s="30" t="n">
        <f aca="false">SUM($Q$5:Q12)</f>
        <v>397.614996425308</v>
      </c>
      <c r="S12" s="18" t="n">
        <f aca="false">MAX(0,MIN(R12,Own_Labor_Hours)-MIN((R12-Q12),Own_Labor_Hours))*Farmer_Implied_Wage+(Q12-MAX(0,MIN(R12,Own_Labor_Hours)-MIN((R12-Q12),Own_Labor_Hours)))*Temp_Wage_Per_Hour+Mesclun_Fertilizer_Per_Bed</f>
        <v>2754.89924583264</v>
      </c>
      <c r="T12" s="31" t="n">
        <f aca="false">Mesclun_Price-S12</f>
        <v>-54.8992458326438</v>
      </c>
      <c r="U12" s="31" t="n">
        <f aca="false">SUM($T$5:T12)</f>
        <v>753.92373523235</v>
      </c>
      <c r="V12" s="32" t="b">
        <f aca="false">AND(V11,T12&gt;=0)</f>
        <v>0</v>
      </c>
    </row>
    <row r="13" customFormat="false" ht="15" hidden="false" customHeight="false" outlineLevel="0" collapsed="false">
      <c r="B13" s="17" t="n">
        <f aca="false">ROW()-4</f>
        <v>9</v>
      </c>
      <c r="C13" s="30" t="n">
        <f aca="false">(B13*Tomato_Base_Labor_Hrs_Wk_Bed*Season_Weeks*(1+Tomato_Diminishing_Rate)^B13)-((B13-1)*Tomato_Base_Labor_Hrs_Wk_Bed*Season_Weeks*(1+Tomato_Diminishing_Rate)^(B13-1))</f>
        <v>366.553686510001</v>
      </c>
      <c r="D13" s="30" t="n">
        <f aca="false">SUM($C$5:C13)</f>
        <v>1909.93762971</v>
      </c>
      <c r="E13" s="18" t="n">
        <f aca="false">MAX(0,MIN(D13,Own_Labor_Hours)-MIN((D13-C13),Own_Labor_Hours))*Farmer_Implied_Wage+(C13-MAX(0,MIN(D13,Own_Labor_Hours)-MIN((D13-C13),Own_Labor_Hours)))*Temp_Wage_Per_Hour+Tomato_Fertilizer_Per_Bed</f>
        <v>7243.77927968751</v>
      </c>
      <c r="F13" s="31" t="n">
        <f aca="false">Tomato_Price-E13</f>
        <v>1556.22072031249</v>
      </c>
      <c r="G13" s="31" t="n">
        <f aca="false">SUM($F$5:F13)</f>
        <v>25621.3605953125</v>
      </c>
      <c r="H13" s="32" t="b">
        <f aca="false">AND(H12,F13&gt;=0)</f>
        <v>1</v>
      </c>
      <c r="I13" s="17" t="n">
        <f aca="false">ROW()-4</f>
        <v>9</v>
      </c>
      <c r="J13" s="30" t="n">
        <f aca="false">(I13*Carrot_Base_Labor_Hrs_Wk_Bed*Season_Weeks*(1+Carrot_Diminishing_Rate)^I13)-((I13-1)*Carrot_Base_Labor_Hrs_Wk_Bed*Season_Weeks*(1+Carrot_Diminishing_Rate)^(I13-1))</f>
        <v>44.7763064834895</v>
      </c>
      <c r="K13" s="30" t="n">
        <f aca="false">SUM($J$5:J13)</f>
        <v>337.19300188587</v>
      </c>
      <c r="L13" s="18" t="n">
        <f aca="false">MAX(0,MIN(K13,Own_Labor_Hours)-MIN((K13-J13),Own_Labor_Hours))*Farmer_Implied_Wage+(J13-MAX(0,MIN(K13,Own_Labor_Hours)-MIN((K13-J13),Own_Labor_Hours)))*Temp_Wage_Per_Hour+Carrot_Fertilizer_Per_Bed</f>
        <v>1994.73286401005</v>
      </c>
      <c r="M13" s="31" t="n">
        <f aca="false">Carrot_Price-L13</f>
        <v>99.2671359899491</v>
      </c>
      <c r="N13" s="31" t="n">
        <f aca="false">SUM($M$5:M13)</f>
        <v>3177.90965674064</v>
      </c>
      <c r="O13" s="32" t="b">
        <f aca="false">AND(O12,M13&gt;=0)</f>
        <v>1</v>
      </c>
      <c r="P13" s="17" t="n">
        <f aca="false">ROW()-4</f>
        <v>9</v>
      </c>
      <c r="Q13" s="30" t="n">
        <f aca="false">(P13*Mesclun_Base_Labor_Hrs_Wk_Bed*Season_Weeks*(1+Mesclun_Diminishing_Rate)^P13)-((P13-1)*Mesclun_Base_Labor_Hrs_Wk_Bed*Season_Weeks*(1+Mesclun_Diminishing_Rate)^(P13-1))</f>
        <v>55.2933354403944</v>
      </c>
      <c r="R13" s="30" t="n">
        <f aca="false">SUM($Q$5:Q13)</f>
        <v>452.908331865703</v>
      </c>
      <c r="S13" s="18" t="n">
        <f aca="false">MAX(0,MIN(R13,Own_Labor_Hours)-MIN((R13-Q13),Own_Labor_Hours))*Farmer_Implied_Wage+(Q13-MAX(0,MIN(R13,Own_Labor_Hours)-MIN((R13-Q13),Own_Labor_Hours)))*Temp_Wage_Per_Hour+Mesclun_Fertilizer_Per_Bed</f>
        <v>2799.90748056925</v>
      </c>
      <c r="T13" s="31" t="n">
        <f aca="false">Mesclun_Price-S13</f>
        <v>-99.9074805692499</v>
      </c>
      <c r="U13" s="31" t="n">
        <f aca="false">SUM($T$5:T13)</f>
        <v>654.0162546631</v>
      </c>
      <c r="V13" s="32" t="b">
        <f aca="false">AND(V12,T13&gt;=0)</f>
        <v>0</v>
      </c>
    </row>
    <row r="14" customFormat="false" ht="15" hidden="false" customHeight="false" outlineLevel="0" collapsed="false">
      <c r="B14" s="17" t="n">
        <f aca="false">ROW()-4</f>
        <v>10</v>
      </c>
      <c r="C14" s="30" t="n">
        <f aca="false">(B14*Tomato_Base_Labor_Hrs_Wk_Bed*Season_Weeks*(1+Tomato_Diminishing_Rate)^B14)-((B14-1)*Tomato_Base_Labor_Hrs_Wk_Bed*Season_Weeks*(1+Tomato_Diminishing_Rate)^(B14-1))</f>
        <v>424.43058438</v>
      </c>
      <c r="D14" s="30" t="n">
        <f aca="false">SUM($C$5:C14)</f>
        <v>2334.36821409</v>
      </c>
      <c r="E14" s="18" t="n">
        <f aca="false">MAX(0,MIN(D14,Own_Labor_Hours)-MIN((D14-C14),Own_Labor_Hours))*Farmer_Implied_Wage+(C14-MAX(0,MIN(D14,Own_Labor_Hours)-MIN((D14-C14),Own_Labor_Hours)))*Temp_Wage_Per_Hour+Tomato_Fertilizer_Per_Bed</f>
        <v>8248.58653437501</v>
      </c>
      <c r="F14" s="31" t="n">
        <f aca="false">Tomato_Price-E14</f>
        <v>551.413465624995</v>
      </c>
      <c r="G14" s="31" t="n">
        <f aca="false">SUM($F$5:F14)</f>
        <v>26172.7740609375</v>
      </c>
      <c r="H14" s="32" t="b">
        <f aca="false">AND(H13,F14&gt;=0)</f>
        <v>1</v>
      </c>
      <c r="I14" s="17" t="n">
        <f aca="false">ROW()-4</f>
        <v>10</v>
      </c>
      <c r="J14" s="30" t="n">
        <f aca="false">(I14*Carrot_Base_Labor_Hrs_Wk_Bed*Season_Weeks*(1+Carrot_Diminishing_Rate)^I14)-((I14-1)*Carrot_Base_Labor_Hrs_Wk_Bed*Season_Weeks*(1+Carrot_Diminishing_Rate)^(I14-1))</f>
        <v>46.8323613730374</v>
      </c>
      <c r="K14" s="30" t="n">
        <f aca="false">SUM($J$5:J14)</f>
        <v>384.025363258907</v>
      </c>
      <c r="L14" s="18" t="n">
        <f aca="false">MAX(0,MIN(K14,Own_Labor_Hours)-MIN((K14-J14),Own_Labor_Hours))*Farmer_Implied_Wage+(J14-MAX(0,MIN(K14,Own_Labor_Hours)-MIN((K14-J14),Own_Labor_Hours)))*Temp_Wage_Per_Hour+Carrot_Fertilizer_Per_Bed</f>
        <v>2066.12365878602</v>
      </c>
      <c r="M14" s="31" t="n">
        <f aca="false">Carrot_Price-L14</f>
        <v>27.8763412139779</v>
      </c>
      <c r="N14" s="31" t="n">
        <f aca="false">SUM($M$5:M14)</f>
        <v>3205.78599795462</v>
      </c>
      <c r="O14" s="32" t="b">
        <f aca="false">AND(O13,M14&gt;=0)</f>
        <v>1</v>
      </c>
      <c r="P14" s="17" t="n">
        <f aca="false">ROW()-4</f>
        <v>10</v>
      </c>
      <c r="Q14" s="30" t="n">
        <f aca="false">(P14*Mesclun_Base_Labor_Hrs_Wk_Bed*Season_Weeks*(1+Mesclun_Diminishing_Rate)^P14)-((P14-1)*Mesclun_Base_Labor_Hrs_Wk_Bed*Season_Weeks*(1+Mesclun_Diminishing_Rate)^(P14-1))</f>
        <v>56.6135414832128</v>
      </c>
      <c r="R14" s="30" t="n">
        <f aca="false">SUM($Q$5:Q14)</f>
        <v>509.521873348916</v>
      </c>
      <c r="S14" s="18" t="n">
        <f aca="false">MAX(0,MIN(R14,Own_Labor_Hours)-MIN((R14-Q14),Own_Labor_Hours))*Farmer_Implied_Wage+(Q14-MAX(0,MIN(R14,Own_Labor_Hours)-MIN((R14-Q14),Own_Labor_Hours)))*Temp_Wage_Per_Hour+Mesclun_Fertilizer_Per_Bed</f>
        <v>2845.74796816711</v>
      </c>
      <c r="T14" s="31" t="n">
        <f aca="false">Mesclun_Price-S14</f>
        <v>-145.74796816711</v>
      </c>
      <c r="U14" s="31" t="n">
        <f aca="false">SUM($T$5:T14)</f>
        <v>508.26828649599</v>
      </c>
      <c r="V14" s="32" t="b">
        <f aca="false">AND(V13,T14&gt;=0)</f>
        <v>0</v>
      </c>
    </row>
    <row r="15" customFormat="false" ht="15" hidden="false" customHeight="false" outlineLevel="0" collapsed="false">
      <c r="B15" s="17" t="n">
        <f aca="false">ROW()-4</f>
        <v>11</v>
      </c>
      <c r="C15" s="30" t="n">
        <f aca="false">(B15*Tomato_Base_Labor_Hrs_Wk_Bed*Season_Weeks*(1+Tomato_Diminishing_Rate)^B15)-((B15-1)*Tomato_Base_Labor_Hrs_Wk_Bed*Season_Weeks*(1+Tomato_Diminishing_Rate)^(B15-1))</f>
        <v>490.2173249589</v>
      </c>
      <c r="D15" s="30" t="n">
        <f aca="false">SUM($C$5:C15)</f>
        <v>2824.5855390489</v>
      </c>
      <c r="E15" s="18" t="n">
        <f aca="false">MAX(0,MIN(D15,Own_Labor_Hours)-MIN((D15-C15),Own_Labor_Hours))*Farmer_Implied_Wage+(C15-MAX(0,MIN(D15,Own_Labor_Hours)-MIN((D15-C15),Own_Labor_Hours)))*Temp_Wage_Per_Hour+Tomato_Fertilizer_Per_Bed</f>
        <v>9390.71744720313</v>
      </c>
      <c r="F15" s="31" t="n">
        <f aca="false">Tomato_Price-E15</f>
        <v>-590.717447203133</v>
      </c>
      <c r="G15" s="31" t="n">
        <f aca="false">SUM($F$5:F15)</f>
        <v>25582.0566137343</v>
      </c>
      <c r="H15" s="32" t="b">
        <f aca="false">AND(H14,F15&gt;=0)</f>
        <v>0</v>
      </c>
      <c r="I15" s="17" t="n">
        <f aca="false">ROW()-4</f>
        <v>11</v>
      </c>
      <c r="J15" s="30" t="n">
        <f aca="false">(I15*Carrot_Base_Labor_Hrs_Wk_Bed*Season_Weeks*(1+Carrot_Diminishing_Rate)^I15)-((I15-1)*Carrot_Base_Labor_Hrs_Wk_Bed*Season_Weeks*(1+Carrot_Diminishing_Rate)^(I15-1))</f>
        <v>48.9632338155107</v>
      </c>
      <c r="K15" s="30" t="n">
        <f aca="false">SUM($J$5:J15)</f>
        <v>432.988597074418</v>
      </c>
      <c r="L15" s="18" t="n">
        <f aca="false">MAX(0,MIN(K15,Own_Labor_Hours)-MIN((K15-J15),Own_Labor_Hours))*Farmer_Implied_Wage+(J15-MAX(0,MIN(K15,Own_Labor_Hours)-MIN((K15-J15),Own_Labor_Hours)))*Temp_Wage_Per_Hour+Carrot_Fertilizer_Per_Bed</f>
        <v>2140.11228526079</v>
      </c>
      <c r="M15" s="31" t="n">
        <f aca="false">Carrot_Price-L15</f>
        <v>-46.1122852607887</v>
      </c>
      <c r="N15" s="31" t="n">
        <f aca="false">SUM($M$5:M15)</f>
        <v>3159.67371269383</v>
      </c>
      <c r="O15" s="32" t="b">
        <f aca="false">AND(O14,M15&gt;=0)</f>
        <v>0</v>
      </c>
      <c r="P15" s="17" t="n">
        <f aca="false">ROW()-4</f>
        <v>11</v>
      </c>
      <c r="Q15" s="30" t="n">
        <f aca="false">(P15*Mesclun_Base_Labor_Hrs_Wk_Bed*Season_Weeks*(1+Mesclun_Diminishing_Rate)^P15)-((P15-1)*Mesclun_Base_Labor_Hrs_Wk_Bed*Season_Weeks*(1+Mesclun_Diminishing_Rate)^(P15-1))</f>
        <v>57.9581130934391</v>
      </c>
      <c r="R15" s="30" t="n">
        <f aca="false">SUM($Q$5:Q15)</f>
        <v>567.479986442355</v>
      </c>
      <c r="S15" s="18" t="n">
        <f aca="false">MAX(0,MIN(R15,Own_Labor_Hours)-MIN((R15-Q15),Own_Labor_Hours))*Farmer_Implied_Wage+(Q15-MAX(0,MIN(R15,Own_Labor_Hours)-MIN((R15-Q15),Own_Labor_Hours)))*Temp_Wage_Per_Hour+Mesclun_Fertilizer_Per_Bed</f>
        <v>2892.43448241108</v>
      </c>
      <c r="T15" s="31" t="n">
        <f aca="false">Mesclun_Price-S15</f>
        <v>-192.43448241108</v>
      </c>
      <c r="U15" s="31" t="n">
        <f aca="false">SUM($T$5:T15)</f>
        <v>315.83380408491</v>
      </c>
      <c r="V15" s="32" t="b">
        <f aca="false">AND(V14,T15&gt;=0)</f>
        <v>0</v>
      </c>
    </row>
    <row r="16" customFormat="false" ht="15" hidden="false" customHeight="false" outlineLevel="0" collapsed="false">
      <c r="B16" s="17" t="n">
        <f aca="false">ROW()-4</f>
        <v>12</v>
      </c>
      <c r="C16" s="30" t="n">
        <f aca="false">(B16*Tomato_Base_Labor_Hrs_Wk_Bed*Season_Weeks*(1+Tomato_Diminishing_Rate)^B16)-((B16-1)*Tomato_Base_Labor_Hrs_Wk_Bed*Season_Weeks*(1+Tomato_Diminishing_Rate)^(B16-1))</f>
        <v>564.917107809781</v>
      </c>
      <c r="D16" s="30" t="n">
        <f aca="false">SUM($C$5:C16)</f>
        <v>3389.50264685868</v>
      </c>
      <c r="E16" s="18" t="n">
        <f aca="false">MAX(0,MIN(D16,Own_Labor_Hours)-MIN((D16-C16),Own_Labor_Hours))*Farmer_Implied_Wage+(C16-MAX(0,MIN(D16,Own_Labor_Hours)-MIN((D16-C16),Own_Labor_Hours)))*Temp_Wage_Per_Hour+Tomato_Fertilizer_Per_Bed</f>
        <v>10687.5886772531</v>
      </c>
      <c r="F16" s="31" t="n">
        <f aca="false">Tomato_Price-E16</f>
        <v>-1887.58867725314</v>
      </c>
      <c r="G16" s="31" t="n">
        <f aca="false">SUM($F$5:F16)</f>
        <v>23694.4679364812</v>
      </c>
      <c r="H16" s="32" t="b">
        <f aca="false">AND(H15,F16&gt;=0)</f>
        <v>0</v>
      </c>
      <c r="I16" s="17" t="n">
        <f aca="false">ROW()-4</f>
        <v>12</v>
      </c>
      <c r="J16" s="30" t="n">
        <f aca="false">(I16*Carrot_Base_Labor_Hrs_Wk_Bed*Season_Weeks*(1+Carrot_Diminishing_Rate)^I16)-((I16-1)*Carrot_Base_Labor_Hrs_Wk_Bed*Season_Weeks*(1+Carrot_Diminishing_Rate)^(I16-1))</f>
        <v>51.1713796542492</v>
      </c>
      <c r="K16" s="30" t="n">
        <f aca="false">SUM($J$5:J16)</f>
        <v>484.159976728667</v>
      </c>
      <c r="L16" s="18" t="n">
        <f aca="false">MAX(0,MIN(K16,Own_Labor_Hours)-MIN((K16-J16),Own_Labor_Hours))*Farmer_Implied_Wage+(J16-MAX(0,MIN(K16,Own_Labor_Hours)-MIN((K16-J16),Own_Labor_Hours)))*Temp_Wage_Per_Hour+Carrot_Fertilizer_Per_Bed</f>
        <v>2216.78401577254</v>
      </c>
      <c r="M16" s="31" t="n">
        <f aca="false">Carrot_Price-L16</f>
        <v>-122.784015772542</v>
      </c>
      <c r="N16" s="31" t="n">
        <f aca="false">SUM($M$5:M16)</f>
        <v>3036.88969692129</v>
      </c>
      <c r="O16" s="32" t="b">
        <f aca="false">AND(O15,M16&gt;=0)</f>
        <v>0</v>
      </c>
      <c r="P16" s="17" t="n">
        <f aca="false">ROW()-4</f>
        <v>12</v>
      </c>
      <c r="Q16" s="30" t="n">
        <f aca="false">(P16*Mesclun_Base_Labor_Hrs_Wk_Bed*Season_Weeks*(1+Mesclun_Diminishing_Rate)^P16)-((P16-1)*Mesclun_Base_Labor_Hrs_Wk_Bed*Season_Weeks*(1+Mesclun_Diminishing_Rate)^(P16-1))</f>
        <v>59.3274531280644</v>
      </c>
      <c r="R16" s="30" t="n">
        <f aca="false">SUM($Q$5:Q16)</f>
        <v>626.807439570419</v>
      </c>
      <c r="S16" s="18" t="n">
        <f aca="false">MAX(0,MIN(R16,Own_Labor_Hours)-MIN((R16-Q16),Own_Labor_Hours))*Farmer_Implied_Wage+(Q16-MAX(0,MIN(R16,Own_Labor_Hours)-MIN((R16-Q16),Own_Labor_Hours)))*Temp_Wage_Per_Hour+Mesclun_Fertilizer_Per_Bed</f>
        <v>2939.98101139112</v>
      </c>
      <c r="T16" s="31" t="n">
        <f aca="false">Mesclun_Price-S16</f>
        <v>-239.981011391123</v>
      </c>
      <c r="U16" s="31" t="n">
        <f aca="false">SUM($T$5:T16)</f>
        <v>75.8527926937868</v>
      </c>
      <c r="V16" s="32" t="b">
        <f aca="false">AND(V15,T16&gt;=0)</f>
        <v>0</v>
      </c>
    </row>
    <row r="17" customFormat="false" ht="15" hidden="false" customHeight="false" outlineLevel="0" collapsed="false">
      <c r="B17" s="17" t="n">
        <f aca="false">ROW()-4</f>
        <v>13</v>
      </c>
      <c r="C17" s="30" t="n">
        <f aca="false">(B17*Tomato_Base_Labor_Hrs_Wk_Bed*Season_Weeks*(1+Tomato_Diminishing_Rate)^B17)-((B17-1)*Tomato_Base_Labor_Hrs_Wk_Bed*Season_Weeks*(1+Tomato_Diminishing_Rate)^(B17-1))</f>
        <v>649.654673981248</v>
      </c>
      <c r="D17" s="30" t="n">
        <f aca="false">SUM($C$5:C17)</f>
        <v>4039.15732083993</v>
      </c>
      <c r="E17" s="18" t="n">
        <f aca="false">MAX(0,MIN(D17,Own_Labor_Hours)-MIN((D17-C17),Own_Labor_Hours))*Farmer_Implied_Wage+(C17-MAX(0,MIN(D17,Own_Labor_Hours)-MIN((D17-C17),Own_Labor_Hours)))*Temp_Wage_Per_Hour+Tomato_Fertilizer_Per_Bed</f>
        <v>12158.7269788411</v>
      </c>
      <c r="F17" s="31" t="n">
        <f aca="false">Tomato_Price-E17</f>
        <v>-3358.72697884111</v>
      </c>
      <c r="G17" s="31" t="n">
        <f aca="false">SUM($F$5:F17)</f>
        <v>20335.7409576401</v>
      </c>
      <c r="H17" s="32" t="b">
        <f aca="false">AND(H16,F17&gt;=0)</f>
        <v>0</v>
      </c>
      <c r="I17" s="17" t="n">
        <f aca="false">ROW()-4</f>
        <v>13</v>
      </c>
      <c r="J17" s="30" t="n">
        <f aca="false">(I17*Carrot_Base_Labor_Hrs_Wk_Bed*Season_Weeks*(1+Carrot_Diminishing_Rate)^I17)-((I17-1)*Carrot_Base_Labor_Hrs_Wk_Bed*Season_Weeks*(1+Carrot_Diminishing_Rate)^(I17-1))</f>
        <v>53.4593307637902</v>
      </c>
      <c r="K17" s="30" t="n">
        <f aca="false">SUM($J$5:J17)</f>
        <v>537.619307492457</v>
      </c>
      <c r="L17" s="18" t="n">
        <f aca="false">MAX(0,MIN(K17,Own_Labor_Hours)-MIN((K17-J17),Own_Labor_Hours))*Farmer_Implied_Wage+(J17-MAX(0,MIN(K17,Own_Labor_Hours)-MIN((K17-J17),Own_Labor_Hours)))*Temp_Wage_Per_Hour+Carrot_Fertilizer_Per_Bed</f>
        <v>2296.2267626316</v>
      </c>
      <c r="M17" s="31" t="n">
        <f aca="false">Carrot_Price-L17</f>
        <v>-202.226762631602</v>
      </c>
      <c r="N17" s="31" t="n">
        <f aca="false">SUM($M$5:M17)</f>
        <v>2834.66293428968</v>
      </c>
      <c r="O17" s="32" t="b">
        <f aca="false">AND(O16,M17&gt;=0)</f>
        <v>0</v>
      </c>
      <c r="P17" s="17" t="n">
        <f aca="false">ROW()-4</f>
        <v>13</v>
      </c>
      <c r="Q17" s="30" t="n">
        <f aca="false">(P17*Mesclun_Base_Labor_Hrs_Wk_Bed*Season_Weeks*(1+Mesclun_Diminishing_Rate)^P17)-((P17-1)*Mesclun_Base_Labor_Hrs_Wk_Bed*Season_Weeks*(1+Mesclun_Diminishing_Rate)^(P17-1))</f>
        <v>60.7219707083843</v>
      </c>
      <c r="R17" s="30" t="n">
        <f aca="false">SUM($Q$5:Q17)</f>
        <v>687.529410278803</v>
      </c>
      <c r="S17" s="18" t="n">
        <f aca="false">MAX(0,MIN(R17,Own_Labor_Hours)-MIN((R17-Q17),Own_Labor_Hours))*Farmer_Implied_Wage+(Q17-MAX(0,MIN(R17,Own_Labor_Hours)-MIN((R17-Q17),Own_Labor_Hours)))*Temp_Wage_Per_Hour+Mesclun_Fertilizer_Per_Bed</f>
        <v>2988.40176070779</v>
      </c>
      <c r="T17" s="31" t="n">
        <f aca="false">Mesclun_Price-S17</f>
        <v>-288.401760707789</v>
      </c>
      <c r="U17" s="31" t="n">
        <f aca="false">SUM($T$5:T17)</f>
        <v>-212.548968014003</v>
      </c>
      <c r="V17" s="32" t="b">
        <f aca="false">AND(V16,T17&gt;=0)</f>
        <v>0</v>
      </c>
    </row>
    <row r="18" customFormat="false" ht="15" hidden="false" customHeight="false" outlineLevel="0" collapsed="false">
      <c r="B18" s="17" t="n">
        <f aca="false">ROW()-4</f>
        <v>14</v>
      </c>
      <c r="C18" s="30" t="n">
        <f aca="false">(B18*Tomato_Base_Labor_Hrs_Wk_Bed*Season_Weeks*(1+Tomato_Diminishing_Rate)^B18)-((B18-1)*Tomato_Base_Labor_Hrs_Wk_Bed*Season_Weeks*(1+Tomato_Diminishing_Rate)^(B18-1))</f>
        <v>745.690582308911</v>
      </c>
      <c r="D18" s="30" t="n">
        <f aca="false">SUM($C$5:C18)</f>
        <v>4784.84790314884</v>
      </c>
      <c r="E18" s="18" t="n">
        <f aca="false">MAX(0,MIN(D18,Own_Labor_Hours)-MIN((D18-C18),Own_Labor_Hours))*Farmer_Implied_Wage+(C18-MAX(0,MIN(D18,Own_Labor_Hours)-MIN((D18-C18),Own_Labor_Hours)))*Temp_Wage_Per_Hour+Tomato_Fertilizer_Per_Bed</f>
        <v>13826.0170539741</v>
      </c>
      <c r="F18" s="31" t="n">
        <f aca="false">Tomato_Price-E18</f>
        <v>-5026.01705397415</v>
      </c>
      <c r="G18" s="31" t="n">
        <f aca="false">SUM($F$5:F18)</f>
        <v>15309.7239036659</v>
      </c>
      <c r="H18" s="32" t="b">
        <f aca="false">AND(H17,F18&gt;=0)</f>
        <v>0</v>
      </c>
      <c r="I18" s="17" t="n">
        <f aca="false">ROW()-4</f>
        <v>14</v>
      </c>
      <c r="J18" s="30" t="n">
        <f aca="false">(I18*Carrot_Base_Labor_Hrs_Wk_Bed*Season_Weeks*(1+Carrot_Diminishing_Rate)^I18)-((I18-1)*Carrot_Base_Labor_Hrs_Wk_Bed*Season_Weeks*(1+Carrot_Diminishing_Rate)^(I18-1))</f>
        <v>55.8296973165245</v>
      </c>
      <c r="K18" s="30" t="n">
        <f aca="false">SUM($J$5:J18)</f>
        <v>593.449004808982</v>
      </c>
      <c r="L18" s="18" t="n">
        <f aca="false">MAX(0,MIN(K18,Own_Labor_Hours)-MIN((K18-J18),Own_Labor_Hours))*Farmer_Implied_Wage+(J18-MAX(0,MIN(K18,Own_Labor_Hours)-MIN((K18-J18),Own_Labor_Hours)))*Temp_Wage_Per_Hour+Carrot_Fertilizer_Per_Bed</f>
        <v>2378.53115682377</v>
      </c>
      <c r="M18" s="31" t="n">
        <f aca="false">Carrot_Price-L18</f>
        <v>-284.531156823768</v>
      </c>
      <c r="N18" s="31" t="n">
        <f aca="false">SUM($M$5:M18)</f>
        <v>2550.13177746592</v>
      </c>
      <c r="O18" s="32" t="b">
        <f aca="false">AND(O17,M18&gt;=0)</f>
        <v>0</v>
      </c>
      <c r="P18" s="17" t="n">
        <f aca="false">ROW()-4</f>
        <v>14</v>
      </c>
      <c r="Q18" s="30" t="n">
        <f aca="false">(P18*Mesclun_Base_Labor_Hrs_Wk_Bed*Season_Weeks*(1+Mesclun_Diminishing_Rate)^P18)-((P18-1)*Mesclun_Base_Labor_Hrs_Wk_Bed*Season_Weeks*(1+Mesclun_Diminishing_Rate)^(P18-1))</f>
        <v>62.142081313661</v>
      </c>
      <c r="R18" s="30" t="n">
        <f aca="false">SUM($Q$5:Q18)</f>
        <v>749.671491592464</v>
      </c>
      <c r="S18" s="18" t="n">
        <f aca="false">MAX(0,MIN(R18,Own_Labor_Hours)-MIN((R18-Q18),Own_Labor_Hours))*Farmer_Implied_Wage+(Q18-MAX(0,MIN(R18,Own_Labor_Hours)-MIN((R18-Q18),Own_Labor_Hours)))*Temp_Wage_Per_Hour+Mesclun_Fertilizer_Per_Bed</f>
        <v>2522.58109435517</v>
      </c>
      <c r="T18" s="31" t="n">
        <f aca="false">Mesclun_Price-S18</f>
        <v>177.418905644831</v>
      </c>
      <c r="U18" s="31" t="n">
        <f aca="false">SUM($T$5:T18)</f>
        <v>-35.1300623691714</v>
      </c>
      <c r="V18" s="32" t="b">
        <f aca="false">AND(V17,T18&gt;=0)</f>
        <v>0</v>
      </c>
    </row>
    <row r="19" customFormat="false" ht="15" hidden="false" customHeight="false" outlineLevel="0" collapsed="false">
      <c r="B19" s="17" t="n">
        <f aca="false">ROW()-4</f>
        <v>15</v>
      </c>
      <c r="C19" s="30" t="n">
        <f aca="false">(B19*Tomato_Base_Labor_Hrs_Wk_Bed*Season_Weeks*(1+Tomato_Diminishing_Rate)^B19)-((B19-1)*Tomato_Base_Labor_Hrs_Wk_Bed*Season_Weeks*(1+Tomato_Diminishing_Rate)^(B19-1))</f>
        <v>854.437125562294</v>
      </c>
      <c r="D19" s="30" t="n">
        <f aca="false">SUM($C$5:C19)</f>
        <v>5639.28502871114</v>
      </c>
      <c r="E19" s="18" t="n">
        <f aca="false">MAX(0,MIN(D19,Own_Labor_Hours)-MIN((D19-C19),Own_Labor_Hours))*Farmer_Implied_Wage+(C19-MAX(0,MIN(D19,Own_Labor_Hours)-MIN((D19-C19),Own_Labor_Hours)))*Temp_Wage_Per_Hour+Tomato_Fertilizer_Per_Bed</f>
        <v>15713.9778743454</v>
      </c>
      <c r="F19" s="31" t="n">
        <f aca="false">Tomato_Price-E19</f>
        <v>-6913.97787434538</v>
      </c>
      <c r="G19" s="31" t="n">
        <f aca="false">SUM($F$5:F19)</f>
        <v>8395.74602932056</v>
      </c>
      <c r="H19" s="32" t="b">
        <f aca="false">AND(H18,F19&gt;=0)</f>
        <v>0</v>
      </c>
      <c r="I19" s="17" t="n">
        <f aca="false">ROW()-4</f>
        <v>15</v>
      </c>
      <c r="J19" s="30" t="n">
        <f aca="false">(I19*Carrot_Base_Labor_Hrs_Wk_Bed*Season_Weeks*(1+Carrot_Diminishing_Rate)^I19)-((I19-1)*Carrot_Base_Labor_Hrs_Wk_Bed*Season_Weeks*(1+Carrot_Diminishing_Rate)^(I19-1))</f>
        <v>58.2851701151677</v>
      </c>
      <c r="K19" s="30" t="n">
        <f aca="false">SUM($J$5:J19)</f>
        <v>651.734174924149</v>
      </c>
      <c r="L19" s="18" t="n">
        <f aca="false">MAX(0,MIN(K19,Own_Labor_Hours)-MIN((K19-J19),Own_Labor_Hours))*Farmer_Implied_Wage+(J19-MAX(0,MIN(K19,Own_Labor_Hours)-MIN((K19-J19),Own_Labor_Hours)))*Temp_Wage_Per_Hour+Carrot_Fertilizer_Per_Bed</f>
        <v>2463.79062899888</v>
      </c>
      <c r="M19" s="31" t="n">
        <f aca="false">Carrot_Price-L19</f>
        <v>-369.790628998879</v>
      </c>
      <c r="N19" s="31" t="n">
        <f aca="false">SUM($M$5:M19)</f>
        <v>2180.34114846704</v>
      </c>
      <c r="O19" s="32" t="b">
        <f aca="false">AND(O18,M19&gt;=0)</f>
        <v>0</v>
      </c>
      <c r="P19" s="17" t="n">
        <f aca="false">ROW()-4</f>
        <v>15</v>
      </c>
      <c r="Q19" s="30" t="n">
        <f aca="false">(P19*Mesclun_Base_Labor_Hrs_Wk_Bed*Season_Weeks*(1+Mesclun_Diminishing_Rate)^P19)-((P19-1)*Mesclun_Base_Labor_Hrs_Wk_Bed*Season_Weeks*(1+Mesclun_Diminishing_Rate)^(P19-1))</f>
        <v>63.5882068761464</v>
      </c>
      <c r="R19" s="30" t="n">
        <f aca="false">SUM($Q$5:Q19)</f>
        <v>813.259698468611</v>
      </c>
      <c r="S19" s="18" t="n">
        <f aca="false">MAX(0,MIN(R19,Own_Labor_Hours)-MIN((R19-Q19),Own_Labor_Hours))*Farmer_Implied_Wage+(Q19-MAX(0,MIN(R19,Own_Labor_Hours)-MIN((R19-Q19),Own_Labor_Hours)))*Temp_Wage_Per_Hour+Mesclun_Fertilizer_Per_Bed</f>
        <v>1983.9619249331</v>
      </c>
      <c r="T19" s="31" t="n">
        <f aca="false">Mesclun_Price-S19</f>
        <v>716.038075066903</v>
      </c>
      <c r="U19" s="31" t="n">
        <f aca="false">SUM($T$5:T19)</f>
        <v>680.908012697732</v>
      </c>
      <c r="V19" s="32" t="b">
        <f aca="false">AND(V18,T19&gt;=0)</f>
        <v>0</v>
      </c>
    </row>
    <row r="20" customFormat="false" ht="15" hidden="false" customHeight="false" outlineLevel="0" collapsed="false">
      <c r="B20" s="17" t="n">
        <f aca="false">ROW()-4</f>
        <v>16</v>
      </c>
      <c r="C20" s="30" t="n">
        <f aca="false">(B20*Tomato_Base_Labor_Hrs_Wk_Bed*Season_Weeks*(1+Tomato_Diminishing_Rate)^B20)-((B20-1)*Tomato_Base_Labor_Hrs_Wk_Bed*Season_Weeks*(1+Tomato_Diminishing_Rate)^(B20-1))</f>
        <v>977.476071643264</v>
      </c>
      <c r="D20" s="30" t="n">
        <f aca="false">SUM($C$5:C20)</f>
        <v>6616.7611003544</v>
      </c>
      <c r="E20" s="18" t="n">
        <f aca="false">MAX(0,MIN(D20,Own_Labor_Hours)-MIN((D20-C20),Own_Labor_Hours))*Farmer_Implied_Wage+(C20-MAX(0,MIN(D20,Own_Labor_Hours)-MIN((D20-C20),Own_Labor_Hours)))*Temp_Wage_Per_Hour+Tomato_Fertilizer_Per_Bed</f>
        <v>17850.0706882511</v>
      </c>
      <c r="F20" s="31" t="n">
        <f aca="false">Tomato_Price-E20</f>
        <v>-9050.07068825111</v>
      </c>
      <c r="G20" s="31" t="n">
        <f aca="false">SUM($F$5:F20)</f>
        <v>-654.324658930549</v>
      </c>
      <c r="H20" s="32" t="b">
        <f aca="false">AND(H19,F20&gt;=0)</f>
        <v>0</v>
      </c>
      <c r="I20" s="17" t="n">
        <f aca="false">ROW()-4</f>
        <v>16</v>
      </c>
      <c r="J20" s="30" t="n">
        <f aca="false">(I20*Carrot_Base_Labor_Hrs_Wk_Bed*Season_Weeks*(1+Carrot_Diminishing_Rate)^I20)-((I20-1)*Carrot_Base_Labor_Hrs_Wk_Bed*Season_Weeks*(1+Carrot_Diminishing_Rate)^(I20-1))</f>
        <v>60.8285229929205</v>
      </c>
      <c r="K20" s="30" t="n">
        <f aca="false">SUM($J$5:J20)</f>
        <v>712.56269791707</v>
      </c>
      <c r="L20" s="18" t="n">
        <f aca="false">MAX(0,MIN(K20,Own_Labor_Hours)-MIN((K20-J20),Own_Labor_Hours))*Farmer_Implied_Wage+(J20-MAX(0,MIN(K20,Own_Labor_Hours)-MIN((K20-J20),Own_Labor_Hours)))*Temp_Wage_Per_Hour+Carrot_Fertilizer_Per_Bed</f>
        <v>2552.10149280974</v>
      </c>
      <c r="M20" s="31" t="n">
        <f aca="false">Carrot_Price-L20</f>
        <v>-458.10149280974</v>
      </c>
      <c r="N20" s="31" t="n">
        <f aca="false">SUM($M$5:M20)</f>
        <v>1722.2396556573</v>
      </c>
      <c r="O20" s="32" t="b">
        <f aca="false">AND(O19,M20&gt;=0)</f>
        <v>0</v>
      </c>
      <c r="P20" s="17" t="n">
        <f aca="false">ROW()-4</f>
        <v>16</v>
      </c>
      <c r="Q20" s="30" t="n">
        <f aca="false">(P20*Mesclun_Base_Labor_Hrs_Wk_Bed*Season_Weeks*(1+Mesclun_Diminishing_Rate)^P20)-((P20-1)*Mesclun_Base_Labor_Hrs_Wk_Bed*Season_Weeks*(1+Mesclun_Diminishing_Rate)^(P20-1))</f>
        <v>65.0607758774889</v>
      </c>
      <c r="R20" s="30" t="n">
        <f aca="false">SUM($Q$5:Q20)</f>
        <v>878.3204743461</v>
      </c>
      <c r="S20" s="18" t="n">
        <f aca="false">MAX(0,MIN(R20,Own_Labor_Hours)-MIN((R20-Q20),Own_Labor_Hours))*Farmer_Implied_Wage+(Q20-MAX(0,MIN(R20,Own_Labor_Hours)-MIN((R20-Q20),Own_Labor_Hours)))*Temp_Wage_Per_Hour+Mesclun_Fertilizer_Per_Bed</f>
        <v>2009.52735898418</v>
      </c>
      <c r="T20" s="31" t="n">
        <f aca="false">Mesclun_Price-S20</f>
        <v>690.472641015817</v>
      </c>
      <c r="U20" s="31" t="n">
        <f aca="false">SUM($T$5:T20)</f>
        <v>1371.38065371355</v>
      </c>
      <c r="V20" s="32" t="b">
        <f aca="false">AND(V19,T20&gt;=0)</f>
        <v>0</v>
      </c>
    </row>
    <row r="21" customFormat="false" ht="15" hidden="false" customHeight="false" outlineLevel="0" collapsed="false">
      <c r="B21" s="17" t="n">
        <f aca="false">ROW()-4</f>
        <v>17</v>
      </c>
      <c r="C21" s="30" t="n">
        <f aca="false">(B21*Tomato_Base_Labor_Hrs_Wk_Bed*Season_Weeks*(1+Tomato_Diminishing_Rate)^B21)-((B21-1)*Tomato_Base_Labor_Hrs_Wk_Bed*Season_Weeks*(1+Tomato_Diminishing_Rate)^(B21-1))</f>
        <v>1116.57843568481</v>
      </c>
      <c r="D21" s="30" t="n">
        <f aca="false">SUM($C$5:C21)</f>
        <v>7733.33953603921</v>
      </c>
      <c r="E21" s="18" t="n">
        <f aca="false">MAX(0,MIN(D21,Own_Labor_Hours)-MIN((D21-C21),Own_Labor_Hours))*Farmer_Implied_Wage+(C21-MAX(0,MIN(D21,Own_Labor_Hours)-MIN((D21-C21),Own_Labor_Hours)))*Temp_Wage_Per_Hour+Tomato_Fertilizer_Per_Bed</f>
        <v>20265.0422861946</v>
      </c>
      <c r="F21" s="31" t="n">
        <f aca="false">Tomato_Price-E21</f>
        <v>-11465.0422861946</v>
      </c>
      <c r="G21" s="31" t="n">
        <f aca="false">SUM($F$5:F21)</f>
        <v>-12119.3669451251</v>
      </c>
      <c r="H21" s="32" t="b">
        <f aca="false">AND(H20,F21&gt;=0)</f>
        <v>0</v>
      </c>
      <c r="I21" s="17" t="n">
        <f aca="false">ROW()-4</f>
        <v>17</v>
      </c>
      <c r="J21" s="30" t="n">
        <f aca="false">(I21*Carrot_Base_Labor_Hrs_Wk_Bed*Season_Weeks*(1+Carrot_Diminishing_Rate)^I21)-((I21-1)*Carrot_Base_Labor_Hrs_Wk_Bed*Season_Weeks*(1+Carrot_Diminishing_Rate)^(I21-1))</f>
        <v>63.4626152832391</v>
      </c>
      <c r="K21" s="30" t="n">
        <f aca="false">SUM($J$5:J21)</f>
        <v>776.025313200309</v>
      </c>
      <c r="L21" s="18" t="n">
        <f aca="false">MAX(0,MIN(K21,Own_Labor_Hours)-MIN((K21-J21),Own_Labor_Hours))*Farmer_Implied_Wage+(J21-MAX(0,MIN(K21,Own_Labor_Hours)-MIN((K21-J21),Own_Labor_Hours)))*Temp_Wage_Per_Hour+Carrot_Fertilizer_Per_Bed</f>
        <v>1670.90134316266</v>
      </c>
      <c r="M21" s="31" t="n">
        <f aca="false">Carrot_Price-L21</f>
        <v>423.09865683734</v>
      </c>
      <c r="N21" s="31" t="n">
        <f aca="false">SUM($M$5:M21)</f>
        <v>2145.33831249464</v>
      </c>
      <c r="O21" s="32" t="b">
        <f aca="false">AND(O20,M21&gt;=0)</f>
        <v>0</v>
      </c>
      <c r="P21" s="17" t="n">
        <f aca="false">ROW()-4</f>
        <v>17</v>
      </c>
      <c r="Q21" s="30" t="n">
        <f aca="false">(P21*Mesclun_Base_Labor_Hrs_Wk_Bed*Season_Weeks*(1+Mesclun_Diminishing_Rate)^P21)-((P21-1)*Mesclun_Base_Labor_Hrs_Wk_Bed*Season_Weeks*(1+Mesclun_Diminishing_Rate)^(P21-1))</f>
        <v>66.5602234465403</v>
      </c>
      <c r="R21" s="30" t="n">
        <f aca="false">SUM($Q$5:Q21)</f>
        <v>944.88069779264</v>
      </c>
      <c r="S21" s="18" t="n">
        <f aca="false">MAX(0,MIN(R21,Own_Labor_Hours)-MIN((R21-Q21),Own_Labor_Hours))*Farmer_Implied_Wage+(Q21-MAX(0,MIN(R21,Own_Labor_Hours)-MIN((R21-Q21),Own_Labor_Hours)))*Temp_Wage_Per_Hour+Mesclun_Fertilizer_Per_Bed</f>
        <v>2035.55943483577</v>
      </c>
      <c r="T21" s="31" t="n">
        <f aca="false">Mesclun_Price-S21</f>
        <v>664.440565164232</v>
      </c>
      <c r="U21" s="31" t="n">
        <f aca="false">SUM($T$5:T21)</f>
        <v>2035.82121887778</v>
      </c>
      <c r="V21" s="32" t="b">
        <f aca="false">AND(V20,T21&gt;=0)</f>
        <v>0</v>
      </c>
    </row>
    <row r="22" customFormat="false" ht="15" hidden="false" customHeight="false" outlineLevel="0" collapsed="false">
      <c r="B22" s="17" t="n">
        <f aca="false">ROW()-4</f>
        <v>18</v>
      </c>
      <c r="C22" s="30" t="n">
        <f aca="false">(B22*Tomato_Base_Labor_Hrs_Wk_Bed*Season_Weeks*(1+Tomato_Diminishing_Rate)^B22)-((B22-1)*Tomato_Base_Labor_Hrs_Wk_Bed*Season_Weeks*(1+Tomato_Diminishing_Rate)^(B22-1))</f>
        <v>1273.72651181822</v>
      </c>
      <c r="D22" s="30" t="n">
        <f aca="false">SUM($C$5:C22)</f>
        <v>9007.06604785743</v>
      </c>
      <c r="E22" s="18" t="n">
        <f aca="false">MAX(0,MIN(D22,Own_Labor_Hours)-MIN((D22-C22),Own_Labor_Hours))*Farmer_Implied_Wage+(C22-MAX(0,MIN(D22,Own_Labor_Hours)-MIN((D22-C22),Own_Labor_Hours)))*Temp_Wage_Per_Hour+Tomato_Fertilizer_Per_Bed</f>
        <v>22993.3074968441</v>
      </c>
      <c r="F22" s="31" t="n">
        <f aca="false">Tomato_Price-E22</f>
        <v>-14193.3074968441</v>
      </c>
      <c r="G22" s="31" t="n">
        <f aca="false">SUM($F$5:F22)</f>
        <v>-26312.6744419692</v>
      </c>
      <c r="H22" s="32" t="b">
        <f aca="false">AND(H21,F22&gt;=0)</f>
        <v>0</v>
      </c>
      <c r="I22" s="17" t="n">
        <f aca="false">ROW()-4</f>
        <v>18</v>
      </c>
      <c r="J22" s="30" t="n">
        <f aca="false">(I22*Carrot_Base_Labor_Hrs_Wk_Bed*Season_Weeks*(1+Carrot_Diminishing_Rate)^I22)-((I22-1)*Carrot_Base_Labor_Hrs_Wk_Bed*Season_Weeks*(1+Carrot_Diminishing_Rate)^(I22-1))</f>
        <v>66.1903943612026</v>
      </c>
      <c r="K22" s="30" t="n">
        <f aca="false">SUM($J$5:J22)</f>
        <v>842.215707561512</v>
      </c>
      <c r="L22" s="18" t="n">
        <f aca="false">MAX(0,MIN(K22,Own_Labor_Hours)-MIN((K22-J22),Own_Labor_Hours))*Farmer_Implied_Wage+(J22-MAX(0,MIN(K22,Own_Labor_Hours)-MIN((K22-J22),Own_Labor_Hours)))*Temp_Wage_Per_Hour+Carrot_Fertilizer_Per_Bed</f>
        <v>1589.1387909931</v>
      </c>
      <c r="M22" s="31" t="n">
        <f aca="false">Carrot_Price-L22</f>
        <v>504.861209006899</v>
      </c>
      <c r="N22" s="31" t="n">
        <f aca="false">SUM($M$5:M22)</f>
        <v>2650.19952150154</v>
      </c>
      <c r="O22" s="32" t="b">
        <f aca="false">AND(O21,M22&gt;=0)</f>
        <v>0</v>
      </c>
      <c r="P22" s="17" t="n">
        <f aca="false">ROW()-4</f>
        <v>18</v>
      </c>
      <c r="Q22" s="30" t="n">
        <f aca="false">(P22*Mesclun_Base_Labor_Hrs_Wk_Bed*Season_Weeks*(1+Mesclun_Diminishing_Rate)^P22)-((P22-1)*Mesclun_Base_Labor_Hrs_Wk_Bed*Season_Weeks*(1+Mesclun_Diminishing_Rate)^(P22-1))</f>
        <v>68.0869914585873</v>
      </c>
      <c r="R22" s="30" t="n">
        <f aca="false">SUM($Q$5:Q22)</f>
        <v>1012.96768925123</v>
      </c>
      <c r="S22" s="18" t="n">
        <f aca="false">MAX(0,MIN(R22,Own_Labor_Hours)-MIN((R22-Q22),Own_Labor_Hours))*Farmer_Implied_Wage+(Q22-MAX(0,MIN(R22,Own_Labor_Hours)-MIN((R22-Q22),Own_Labor_Hours)))*Temp_Wage_Per_Hour+Mesclun_Fertilizer_Per_Bed</f>
        <v>2062.06582393381</v>
      </c>
      <c r="T22" s="31" t="n">
        <f aca="false">Mesclun_Price-S22</f>
        <v>637.934176066194</v>
      </c>
      <c r="U22" s="31" t="n">
        <f aca="false">SUM($T$5:T22)</f>
        <v>2673.75539494397</v>
      </c>
      <c r="V22" s="32" t="b">
        <f aca="false">AND(V21,T22&gt;=0)</f>
        <v>0</v>
      </c>
    </row>
    <row r="23" customFormat="false" ht="15" hidden="false" customHeight="false" outlineLevel="0" collapsed="false">
      <c r="B23" s="17" t="n">
        <f aca="false">ROW()-4</f>
        <v>19</v>
      </c>
      <c r="C23" s="30" t="n">
        <f aca="false">(B23*Tomato_Base_Labor_Hrs_Wk_Bed*Season_Weeks*(1+Tomato_Diminishing_Rate)^B23)-((B23-1)*Tomato_Base_Labor_Hrs_Wk_Bed*Season_Weeks*(1+Tomato_Diminishing_Rate)^(B23-1))</f>
        <v>1451.13841882148</v>
      </c>
      <c r="D23" s="30" t="n">
        <f aca="false">SUM($C$5:C23)</f>
        <v>10458.2044666789</v>
      </c>
      <c r="E23" s="18" t="n">
        <f aca="false">MAX(0,MIN(D23,Own_Labor_Hours)-MIN((D23-C23),Own_Labor_Hours))*Farmer_Implied_Wage+(C23-MAX(0,MIN(D23,Own_Labor_Hours)-MIN((D23-C23),Own_Labor_Hours)))*Temp_Wage_Per_Hour+Tomato_Fertilizer_Per_Bed</f>
        <v>26073.3753267617</v>
      </c>
      <c r="F23" s="31" t="n">
        <f aca="false">Tomato_Price-E23</f>
        <v>-17273.3753267617</v>
      </c>
      <c r="G23" s="31" t="n">
        <f aca="false">SUM($F$5:F23)</f>
        <v>-43586.049768731</v>
      </c>
      <c r="H23" s="32" t="b">
        <f aca="false">AND(H22,F23&gt;=0)</f>
        <v>0</v>
      </c>
      <c r="I23" s="17" t="n">
        <f aca="false">ROW()-4</f>
        <v>19</v>
      </c>
      <c r="J23" s="30" t="n">
        <f aca="false">(I23*Carrot_Base_Labor_Hrs_Wk_Bed*Season_Weeks*(1+Carrot_Diminishing_Rate)^I23)-((I23-1)*Carrot_Base_Labor_Hrs_Wk_Bed*Season_Weeks*(1+Carrot_Diminishing_Rate)^(I23-1))</f>
        <v>69.0148982585126</v>
      </c>
      <c r="K23" s="30" t="n">
        <f aca="false">SUM($J$5:J23)</f>
        <v>911.230605820024</v>
      </c>
      <c r="L23" s="18" t="n">
        <f aca="false">MAX(0,MIN(K23,Own_Labor_Hours)-MIN((K23-J23),Own_Labor_Hours))*Farmer_Implied_Wage+(J23-MAX(0,MIN(K23,Own_Labor_Hours)-MIN((K23-J23),Own_Labor_Hours)))*Temp_Wage_Per_Hour+Carrot_Fertilizer_Per_Bed</f>
        <v>1638.17531698807</v>
      </c>
      <c r="M23" s="31" t="n">
        <f aca="false">Carrot_Price-L23</f>
        <v>455.824683011934</v>
      </c>
      <c r="N23" s="31" t="n">
        <f aca="false">SUM($M$5:M23)</f>
        <v>3106.02420451347</v>
      </c>
      <c r="O23" s="32" t="b">
        <f aca="false">AND(O22,M23&gt;=0)</f>
        <v>0</v>
      </c>
      <c r="P23" s="17" t="n">
        <f aca="false">ROW()-4</f>
        <v>19</v>
      </c>
      <c r="Q23" s="30" t="n">
        <f aca="false">(P23*Mesclun_Base_Labor_Hrs_Wk_Bed*Season_Weeks*(1+Mesclun_Diminishing_Rate)^P23)-((P23-1)*Mesclun_Base_Labor_Hrs_Wk_Bed*Season_Weeks*(1+Mesclun_Diminishing_Rate)^(P23-1))</f>
        <v>69.6415286360219</v>
      </c>
      <c r="R23" s="30" t="n">
        <f aca="false">SUM($Q$5:Q23)</f>
        <v>1082.60921788725</v>
      </c>
      <c r="S23" s="18" t="n">
        <f aca="false">MAX(0,MIN(R23,Own_Labor_Hours)-MIN((R23-Q23),Own_Labor_Hours))*Farmer_Implied_Wage+(Q23-MAX(0,MIN(R23,Own_Labor_Hours)-MIN((R23-Q23),Own_Labor_Hours)))*Temp_Wage_Per_Hour+Mesclun_Fertilizer_Per_Bed</f>
        <v>2089.0543165976</v>
      </c>
      <c r="T23" s="31" t="n">
        <f aca="false">Mesclun_Price-S23</f>
        <v>610.945683402397</v>
      </c>
      <c r="U23" s="31" t="n">
        <f aca="false">SUM($T$5:T23)</f>
        <v>3284.70107834637</v>
      </c>
      <c r="V23" s="32" t="b">
        <f aca="false">AND(V22,T23&gt;=0)</f>
        <v>0</v>
      </c>
    </row>
    <row r="24" customFormat="false" ht="15" hidden="false" customHeight="false" outlineLevel="0" collapsed="false">
      <c r="B24" s="17" t="n">
        <f aca="false">ROW()-4</f>
        <v>20</v>
      </c>
      <c r="C24" s="30" t="n">
        <f aca="false">(B24*Tomato_Base_Labor_Hrs_Wk_Bed*Season_Weeks*(1+Tomato_Diminishing_Rate)^B24)-((B24-1)*Tomato_Base_Labor_Hrs_Wk_Bed*Season_Weeks*(1+Tomato_Diminishing_Rate)^(B24-1))</f>
        <v>1651.2954421072</v>
      </c>
      <c r="D24" s="30" t="n">
        <f aca="false">SUM($C$5:C24)</f>
        <v>12109.4999087861</v>
      </c>
      <c r="E24" s="18" t="n">
        <f aca="false">MAX(0,MIN(D24,Own_Labor_Hours)-MIN((D24-C24),Own_Labor_Hours))*Farmer_Implied_Wage+(C24-MAX(0,MIN(D24,Own_Labor_Hours)-MIN((D24-C24),Own_Labor_Hours)))*Temp_Wage_Per_Hour+Tomato_Fertilizer_Per_Bed</f>
        <v>29548.3236476944</v>
      </c>
      <c r="F24" s="31" t="n">
        <f aca="false">Tomato_Price-E24</f>
        <v>-20748.3236476944</v>
      </c>
      <c r="G24" s="31" t="n">
        <f aca="false">SUM($F$5:F24)</f>
        <v>-64334.3734164253</v>
      </c>
      <c r="H24" s="32" t="b">
        <f aca="false">AND(H23,F24&gt;=0)</f>
        <v>0</v>
      </c>
      <c r="I24" s="17" t="n">
        <f aca="false">ROW()-4</f>
        <v>20</v>
      </c>
      <c r="J24" s="30" t="n">
        <f aca="false">(I24*Carrot_Base_Labor_Hrs_Wk_Bed*Season_Weeks*(1+Carrot_Diminishing_Rate)^I24)-((I24-1)*Carrot_Base_Labor_Hrs_Wk_Bed*Season_Weeks*(1+Carrot_Diminishing_Rate)^(I24-1))</f>
        <v>71.9392583542124</v>
      </c>
      <c r="K24" s="30" t="n">
        <f aca="false">SUM($J$5:J24)</f>
        <v>983.169864174237</v>
      </c>
      <c r="L24" s="18" t="n">
        <f aca="false">MAX(0,MIN(K24,Own_Labor_Hours)-MIN((K24-J24),Own_Labor_Hours))*Farmer_Implied_Wage+(J24-MAX(0,MIN(K24,Own_Labor_Hours)-MIN((K24-J24),Own_Labor_Hours)))*Temp_Wage_Per_Hour+Carrot_Fertilizer_Per_Bed</f>
        <v>1688.94545753841</v>
      </c>
      <c r="M24" s="31" t="n">
        <f aca="false">Carrot_Price-L24</f>
        <v>405.054542461591</v>
      </c>
      <c r="N24" s="31" t="n">
        <f aca="false">SUM($M$5:M24)</f>
        <v>3511.07874697506</v>
      </c>
      <c r="O24" s="32" t="b">
        <f aca="false">AND(O23,M24&gt;=0)</f>
        <v>0</v>
      </c>
      <c r="P24" s="17" t="n">
        <f aca="false">ROW()-4</f>
        <v>20</v>
      </c>
      <c r="Q24" s="30" t="n">
        <f aca="false">(P24*Mesclun_Base_Labor_Hrs_Wk_Bed*Season_Weeks*(1+Mesclun_Diminishing_Rate)^P24)-((P24-1)*Mesclun_Base_Labor_Hrs_Wk_Bed*Season_Weeks*(1+Mesclun_Diminishing_Rate)^(P24-1))</f>
        <v>71.2242906504769</v>
      </c>
      <c r="R24" s="30" t="n">
        <f aca="false">SUM($Q$5:Q24)</f>
        <v>1153.83350853773</v>
      </c>
      <c r="S24" s="18" t="n">
        <f aca="false">MAX(0,MIN(R24,Own_Labor_Hours)-MIN((R24-Q24),Own_Labor_Hours))*Farmer_Implied_Wage+(Q24-MAX(0,MIN(R24,Own_Labor_Hours)-MIN((R24-Q24),Own_Labor_Hours)))*Temp_Wage_Per_Hour+Mesclun_Fertilizer_Per_Bed</f>
        <v>2116.532823793</v>
      </c>
      <c r="T24" s="31" t="n">
        <f aca="false">Mesclun_Price-S24</f>
        <v>583.467176206999</v>
      </c>
      <c r="U24" s="31" t="n">
        <f aca="false">SUM($T$5:T24)</f>
        <v>3868.16825455337</v>
      </c>
      <c r="V24" s="32" t="b">
        <f aca="false">AND(V23,T24&gt;=0)</f>
        <v>0</v>
      </c>
    </row>
    <row r="25" customFormat="false" ht="15" hidden="false" customHeight="false" outlineLevel="0" collapsed="false">
      <c r="P25" s="17" t="n">
        <f aca="false">ROW()-4</f>
        <v>21</v>
      </c>
      <c r="Q25" s="30" t="n">
        <f aca="false">(P25*Mesclun_Base_Labor_Hrs_Wk_Bed*Season_Weeks*(1+Mesclun_Diminishing_Rate)^P25)-((P25-1)*Mesclun_Base_Labor_Hrs_Wk_Bed*Season_Weeks*(1+Mesclun_Diminishing_Rate)^(P25-1))</f>
        <v>72.8357402264439</v>
      </c>
      <c r="R25" s="30" t="n">
        <f aca="false">SUM($Q$5:Q25)</f>
        <v>1226.66924876417</v>
      </c>
      <c r="S25" s="18" t="n">
        <f aca="false">MAX(0,MIN(R25,Own_Labor_Hours)-MIN((R25-Q25),Own_Labor_Hours))*Farmer_Implied_Wage+(Q25-MAX(0,MIN(R25,Own_Labor_Hours)-MIN((R25-Q25),Own_Labor_Hours)))*Temp_Wage_Per_Hour+Mesclun_Fertilizer_Per_Bed</f>
        <v>2144.50937893132</v>
      </c>
      <c r="T25" s="31" t="n">
        <f aca="false">Mesclun_Price-S25</f>
        <v>555.490621068682</v>
      </c>
      <c r="U25" s="31" t="n">
        <f aca="false">SUM($T$5:T25)</f>
        <v>4423.65887562205</v>
      </c>
      <c r="V25" s="32" t="b">
        <f aca="false">AND(V24,T25&gt;=0)</f>
        <v>0</v>
      </c>
    </row>
    <row r="26" customFormat="false" ht="15" hidden="false" customHeight="false" outlineLevel="0" collapsed="false">
      <c r="B26" s="13" t="s">
        <v>85</v>
      </c>
      <c r="C26" s="13"/>
      <c r="D26" s="13"/>
      <c r="E26" s="13"/>
      <c r="F26" s="33" t="n">
        <f aca="false">SUMPRODUCT((H5:H24)*1)</f>
        <v>10</v>
      </c>
      <c r="I26" s="13" t="s">
        <v>85</v>
      </c>
      <c r="J26" s="13"/>
      <c r="K26" s="13"/>
      <c r="L26" s="13"/>
      <c r="M26" s="33" t="n">
        <f aca="false">SUMPRODUCT((O5:O24)*1)</f>
        <v>10</v>
      </c>
      <c r="P26" s="17" t="n">
        <f aca="false">ROW()-4</f>
        <v>22</v>
      </c>
      <c r="Q26" s="30" t="n">
        <f aca="false">(P26*Mesclun_Base_Labor_Hrs_Wk_Bed*Season_Weeks*(1+Mesclun_Diminishing_Rate)^P26)-((P26-1)*Mesclun_Base_Labor_Hrs_Wk_Bed*Season_Weeks*(1+Mesclun_Diminishing_Rate)^(P26-1))</f>
        <v>74.476347246396</v>
      </c>
      <c r="R26" s="30" t="n">
        <f aca="false">SUM($Q$5:Q26)</f>
        <v>1301.14559601057</v>
      </c>
      <c r="S26" s="18" t="n">
        <f aca="false">MAX(0,MIN(R26,Own_Labor_Hours)-MIN((R26-Q26),Own_Labor_Hours))*Farmer_Implied_Wage+(Q26-MAX(0,MIN(R26,Own_Labor_Hours)-MIN((R26-Q26),Own_Labor_Hours)))*Temp_Wage_Per_Hour+Mesclun_Fertilizer_Per_Bed</f>
        <v>2172.99213969438</v>
      </c>
      <c r="T26" s="31" t="n">
        <f aca="false">Mesclun_Price-S26</f>
        <v>527.007860305625</v>
      </c>
      <c r="U26" s="31" t="n">
        <f aca="false">SUM($T$5:T26)</f>
        <v>4950.66673592768</v>
      </c>
      <c r="V26" s="32" t="b">
        <f aca="false">AND(V25,T26&gt;=0)</f>
        <v>0</v>
      </c>
    </row>
    <row r="27" customFormat="false" ht="15" hidden="false" customHeight="false" outlineLevel="0" collapsed="false">
      <c r="P27" s="17" t="n">
        <f aca="false">ROW()-4</f>
        <v>23</v>
      </c>
      <c r="Q27" s="30" t="n">
        <f aca="false">(P27*Mesclun_Base_Labor_Hrs_Wk_Bed*Season_Weeks*(1+Mesclun_Diminishing_Rate)^P27)-((P27-1)*Mesclun_Base_Labor_Hrs_Wk_Bed*Season_Weeks*(1+Mesclun_Diminishing_Rate)^(P27-1))</f>
        <v>76.1465888574364</v>
      </c>
      <c r="R27" s="30" t="n">
        <f aca="false">SUM($Q$5:Q27)</f>
        <v>1377.292184868</v>
      </c>
      <c r="S27" s="18" t="n">
        <f aca="false">MAX(0,MIN(R27,Own_Labor_Hours)-MIN((R27-Q27),Own_Labor_Hours))*Farmer_Implied_Wage+(Q27-MAX(0,MIN(R27,Own_Labor_Hours)-MIN((R27-Q27),Own_Labor_Hours)))*Temp_Wage_Per_Hour+Mesclun_Fertilizer_Per_Bed</f>
        <v>2201.98938988605</v>
      </c>
      <c r="T27" s="31" t="n">
        <f aca="false">Mesclun_Price-S27</f>
        <v>498.010610113951</v>
      </c>
      <c r="U27" s="31" t="n">
        <f aca="false">SUM($T$5:T27)</f>
        <v>5448.67734604163</v>
      </c>
      <c r="V27" s="32" t="b">
        <f aca="false">AND(V26,T27&gt;=0)</f>
        <v>0</v>
      </c>
    </row>
    <row r="28" customFormat="false" ht="15" hidden="false" customHeight="false" outlineLevel="0" collapsed="false">
      <c r="P28" s="17" t="n">
        <f aca="false">ROW()-4</f>
        <v>24</v>
      </c>
      <c r="Q28" s="30" t="n">
        <f aca="false">(P28*Mesclun_Base_Labor_Hrs_Wk_Bed*Season_Weeks*(1+Mesclun_Diminishing_Rate)^P28)-((P28-1)*Mesclun_Base_Labor_Hrs_Wk_Bed*Season_Weeks*(1+Mesclun_Diminishing_Rate)^(P28-1))</f>
        <v>77.8469495794957</v>
      </c>
      <c r="R28" s="30" t="n">
        <f aca="false">SUM($Q$5:Q28)</f>
        <v>1455.1391344475</v>
      </c>
      <c r="S28" s="18" t="n">
        <f aca="false">MAX(0,MIN(R28,Own_Labor_Hours)-MIN((R28-Q28),Own_Labor_Hours))*Farmer_Implied_Wage+(Q28-MAX(0,MIN(R28,Own_Labor_Hours)-MIN((R28-Q28),Own_Labor_Hours)))*Temp_Wage_Per_Hour+Mesclun_Fertilizer_Per_Bed</f>
        <v>2231.50954131069</v>
      </c>
      <c r="T28" s="31" t="n">
        <f aca="false">Mesclun_Price-S28</f>
        <v>468.490458689311</v>
      </c>
      <c r="U28" s="31" t="n">
        <f aca="false">SUM($T$5:T28)</f>
        <v>5917.16780473094</v>
      </c>
      <c r="V28" s="32" t="b">
        <f aca="false">AND(V27,T28&gt;=0)</f>
        <v>0</v>
      </c>
    </row>
    <row r="29" customFormat="false" ht="15" hidden="false" customHeight="false" outlineLevel="0" collapsed="false">
      <c r="P29" s="17" t="n">
        <f aca="false">ROW()-4</f>
        <v>25</v>
      </c>
      <c r="Q29" s="30" t="n">
        <f aca="false">(P29*Mesclun_Base_Labor_Hrs_Wk_Bed*Season_Weeks*(1+Mesclun_Diminishing_Rate)^P29)-((P29-1)*Mesclun_Base_Labor_Hrs_Wk_Bed*Season_Weeks*(1+Mesclun_Diminishing_Rate)^(P29-1))</f>
        <v>79.5779214150975</v>
      </c>
      <c r="R29" s="30" t="n">
        <f aca="false">SUM($Q$5:Q29)</f>
        <v>1534.7170558626</v>
      </c>
      <c r="S29" s="18" t="n">
        <f aca="false">MAX(0,MIN(R29,Own_Labor_Hours)-MIN((R29-Q29),Own_Labor_Hours))*Farmer_Implied_Wage+(Q29-MAX(0,MIN(R29,Own_Labor_Hours)-MIN((R29-Q29),Own_Labor_Hours)))*Temp_Wage_Per_Hour+Mesclun_Fertilizer_Per_Bed</f>
        <v>2261.56113567878</v>
      </c>
      <c r="T29" s="31" t="n">
        <f aca="false">Mesclun_Price-S29</f>
        <v>438.438864321223</v>
      </c>
      <c r="U29" s="31" t="n">
        <f aca="false">SUM($T$5:T29)</f>
        <v>6355.60666905216</v>
      </c>
      <c r="V29" s="32" t="b">
        <f aca="false">AND(V28,T29&gt;=0)</f>
        <v>0</v>
      </c>
    </row>
    <row r="30" customFormat="false" ht="15" hidden="false" customHeight="false" outlineLevel="0" collapsed="false">
      <c r="P30" s="17" t="n">
        <f aca="false">ROW()-4</f>
        <v>26</v>
      </c>
      <c r="Q30" s="30" t="n">
        <f aca="false">(P30*Mesclun_Base_Labor_Hrs_Wk_Bed*Season_Weeks*(1+Mesclun_Diminishing_Rate)^P30)-((P30-1)*Mesclun_Base_Labor_Hrs_Wk_Bed*Season_Weeks*(1+Mesclun_Diminishing_Rate)^(P30-1))</f>
        <v>81.3400039607172</v>
      </c>
      <c r="R30" s="30" t="n">
        <f aca="false">SUM($Q$5:Q30)</f>
        <v>1616.05705982331</v>
      </c>
      <c r="S30" s="18" t="n">
        <f aca="false">MAX(0,MIN(R30,Own_Labor_Hours)-MIN((R30-Q30),Own_Labor_Hours))*Farmer_Implied_Wage+(Q30-MAX(0,MIN(R30,Own_Labor_Hours)-MIN((R30-Q30),Own_Labor_Hours)))*Temp_Wage_Per_Hour+Mesclun_Fertilizer_Per_Bed</f>
        <v>2292.15284654023</v>
      </c>
      <c r="T30" s="31" t="n">
        <f aca="false">Mesclun_Price-S30</f>
        <v>407.84715345977</v>
      </c>
      <c r="U30" s="31" t="n">
        <f aca="false">SUM($T$5:T30)</f>
        <v>6763.45382251193</v>
      </c>
      <c r="V30" s="32" t="b">
        <f aca="false">AND(V29,T30&gt;=0)</f>
        <v>0</v>
      </c>
    </row>
    <row r="31" customFormat="false" ht="15" hidden="false" customHeight="false" outlineLevel="0" collapsed="false">
      <c r="P31" s="17" t="n">
        <f aca="false">ROW()-4</f>
        <v>27</v>
      </c>
      <c r="Q31" s="30" t="n">
        <f aca="false">(P31*Mesclun_Base_Labor_Hrs_Wk_Bed*Season_Weeks*(1+Mesclun_Diminishing_Rate)^P31)-((P31-1)*Mesclun_Base_Labor_Hrs_Wk_Bed*Season_Weeks*(1+Mesclun_Diminishing_Rate)^(P31-1))</f>
        <v>83.1337045197572</v>
      </c>
      <c r="R31" s="30" t="n">
        <f aca="false">SUM($Q$5:Q31)</f>
        <v>1699.19076434307</v>
      </c>
      <c r="S31" s="18" t="n">
        <f aca="false">MAX(0,MIN(R31,Own_Labor_Hours)-MIN((R31-Q31),Own_Labor_Hours))*Farmer_Implied_Wage+(Q31-MAX(0,MIN(R31,Own_Labor_Hours)-MIN((R31-Q31),Own_Labor_Hours)))*Temp_Wage_Per_Hour+Mesclun_Fertilizer_Per_Bed</f>
        <v>2323.29348124578</v>
      </c>
      <c r="T31" s="31" t="n">
        <f aca="false">Mesclun_Price-S31</f>
        <v>376.706518754215</v>
      </c>
      <c r="U31" s="31" t="n">
        <f aca="false">SUM($T$5:T31)</f>
        <v>7140.16034126615</v>
      </c>
      <c r="V31" s="32" t="b">
        <f aca="false">AND(V30,T31&gt;=0)</f>
        <v>0</v>
      </c>
    </row>
    <row r="32" customFormat="false" ht="15" hidden="false" customHeight="false" outlineLevel="0" collapsed="false">
      <c r="P32" s="17" t="n">
        <f aca="false">ROW()-4</f>
        <v>28</v>
      </c>
      <c r="Q32" s="30" t="n">
        <f aca="false">(P32*Mesclun_Base_Labor_Hrs_Wk_Bed*Season_Weeks*(1+Mesclun_Diminishing_Rate)^P32)-((P32-1)*Mesclun_Base_Labor_Hrs_Wk_Bed*Season_Weeks*(1+Mesclun_Diminishing_Rate)^(P32-1))</f>
        <v>84.9595382171533</v>
      </c>
      <c r="R32" s="30" t="n">
        <f aca="false">SUM($Q$5:Q32)</f>
        <v>1784.15030256022</v>
      </c>
      <c r="S32" s="18" t="n">
        <f aca="false">MAX(0,MIN(R32,Own_Labor_Hours)-MIN((R32-Q32),Own_Labor_Hours))*Farmer_Implied_Wage+(Q32-MAX(0,MIN(R32,Own_Labor_Hours)-MIN((R32-Q32),Own_Labor_Hours)))*Temp_Wage_Per_Hour+Mesclun_Fertilizer_Per_Bed</f>
        <v>2354.99198293669</v>
      </c>
      <c r="T32" s="31" t="n">
        <f aca="false">Mesclun_Price-S32</f>
        <v>345.008017063311</v>
      </c>
      <c r="U32" s="31" t="n">
        <f aca="false">SUM($T$5:T32)</f>
        <v>7485.16835832946</v>
      </c>
      <c r="V32" s="32" t="b">
        <f aca="false">AND(V31,T32&gt;=0)</f>
        <v>0</v>
      </c>
    </row>
    <row r="33" customFormat="false" ht="15" hidden="false" customHeight="false" outlineLevel="0" collapsed="false">
      <c r="P33" s="17" t="n">
        <f aca="false">ROW()-4</f>
        <v>29</v>
      </c>
      <c r="Q33" s="30" t="n">
        <f aca="false">(P33*Mesclun_Base_Labor_Hrs_Wk_Bed*Season_Weeks*(1+Mesclun_Diminishing_Rate)^P33)-((P33-1)*Mesclun_Base_Labor_Hrs_Wk_Bed*Season_Weeks*(1+Mesclun_Diminishing_Rate)^(P33-1))</f>
        <v>86.8180281156533</v>
      </c>
      <c r="R33" s="30" t="n">
        <f aca="false">SUM($Q$5:Q33)</f>
        <v>1870.96833067588</v>
      </c>
      <c r="S33" s="18" t="n">
        <f aca="false">MAX(0,MIN(R33,Own_Labor_Hours)-MIN((R33-Q33),Own_Labor_Hours))*Farmer_Implied_Wage+(Q33-MAX(0,MIN(R33,Own_Labor_Hours)-MIN((R33-Q33),Own_Labor_Hours)))*Temp_Wage_Per_Hour+Mesclun_Fertilizer_Per_Bed</f>
        <v>2387.25743256343</v>
      </c>
      <c r="T33" s="31" t="n">
        <f aca="false">Mesclun_Price-S33</f>
        <v>312.742567436575</v>
      </c>
      <c r="U33" s="31" t="n">
        <f aca="false">SUM($T$5:T33)</f>
        <v>7797.91092576603</v>
      </c>
      <c r="V33" s="32" t="b">
        <f aca="false">AND(V32,T33&gt;=0)</f>
        <v>0</v>
      </c>
    </row>
    <row r="34" customFormat="false" ht="15" hidden="false" customHeight="false" outlineLevel="0" collapsed="false">
      <c r="P34" s="17" t="n">
        <f aca="false">ROW()-4</f>
        <v>30</v>
      </c>
      <c r="Q34" s="30" t="n">
        <f aca="false">(P34*Mesclun_Base_Labor_Hrs_Wk_Bed*Season_Weeks*(1+Mesclun_Diminishing_Rate)^P34)-((P34-1)*Mesclun_Base_Labor_Hrs_Wk_Bed*Season_Weeks*(1+Mesclun_Diminishing_Rate)^(P34-1))</f>
        <v>88.70970533377</v>
      </c>
      <c r="R34" s="30" t="n">
        <f aca="false">SUM($Q$5:Q34)</f>
        <v>1959.67803600965</v>
      </c>
      <c r="S34" s="18" t="n">
        <f aca="false">MAX(0,MIN(R34,Own_Labor_Hours)-MIN((R34-Q34),Own_Labor_Hours))*Farmer_Implied_Wage+(Q34-MAX(0,MIN(R34,Own_Labor_Hours)-MIN((R34-Q34),Own_Labor_Hours)))*Temp_Wage_Per_Hour+Mesclun_Fertilizer_Per_Bed</f>
        <v>2420.09905093351</v>
      </c>
      <c r="T34" s="31" t="n">
        <f aca="false">Mesclun_Price-S34</f>
        <v>279.900949066493</v>
      </c>
      <c r="U34" s="31" t="n">
        <f aca="false">SUM($T$5:T34)</f>
        <v>8077.81187483253</v>
      </c>
      <c r="V34" s="32" t="b">
        <f aca="false">AND(V33,T34&gt;=0)</f>
        <v>0</v>
      </c>
    </row>
    <row r="36" customFormat="false" ht="15" hidden="false" customHeight="false" outlineLevel="0" collapsed="false">
      <c r="P36" s="13" t="s">
        <v>85</v>
      </c>
      <c r="Q36" s="13"/>
      <c r="R36" s="13"/>
      <c r="S36" s="13"/>
      <c r="T36" s="33" t="n">
        <f aca="false">SUMPRODUCT((V5:V34)*1)</f>
        <v>6</v>
      </c>
    </row>
    <row r="38" customFormat="false" ht="17.35" hidden="false" customHeight="false" outlineLevel="0" collapsed="false">
      <c r="A38" s="1" t="s">
        <v>86</v>
      </c>
      <c r="B38" s="1"/>
      <c r="C38" s="1"/>
      <c r="D38" s="1"/>
      <c r="E38" s="1"/>
      <c r="F38" s="1"/>
    </row>
    <row r="39" customFormat="false" ht="15" hidden="false" customHeight="false" outlineLevel="0" collapsed="false">
      <c r="A39" s="10" t="s">
        <v>87</v>
      </c>
      <c r="B39" s="10"/>
      <c r="C39" s="10"/>
      <c r="D39" s="10"/>
      <c r="E39" s="6" t="n">
        <f aca="false">Solver!$C$6</f>
        <v>10</v>
      </c>
    </row>
    <row r="40" customFormat="false" ht="15" hidden="false" customHeight="false" outlineLevel="0" collapsed="false">
      <c r="A40" s="10" t="s">
        <v>88</v>
      </c>
      <c r="B40" s="10"/>
      <c r="C40" s="10"/>
      <c r="D40" s="10"/>
      <c r="E40" s="6" t="n">
        <f aca="false">Solver!$C$7</f>
        <v>20</v>
      </c>
    </row>
    <row r="41" customFormat="false" ht="15" hidden="false" customHeight="false" outlineLevel="0" collapsed="false">
      <c r="A41" s="10" t="s">
        <v>89</v>
      </c>
      <c r="B41" s="10"/>
      <c r="C41" s="10"/>
      <c r="D41" s="10"/>
      <c r="E41" s="6" t="n">
        <f aca="false">Solver!$C$8</f>
        <v>30</v>
      </c>
    </row>
    <row r="42" customFormat="false" ht="15" hidden="false" customHeight="false" outlineLevel="0" collapsed="false">
      <c r="A42" s="10" t="s">
        <v>90</v>
      </c>
      <c r="B42" s="10"/>
      <c r="C42" s="10"/>
      <c r="D42" s="10"/>
      <c r="E42" s="6" t="n">
        <f aca="false">Solver!$C$9</f>
        <v>4</v>
      </c>
    </row>
    <row r="43" customFormat="false" ht="15" hidden="false" customHeight="false" outlineLevel="0" collapsed="false">
      <c r="A43" s="10" t="s">
        <v>91</v>
      </c>
      <c r="B43" s="10"/>
      <c r="C43" s="10"/>
      <c r="D43" s="10"/>
      <c r="E43" s="11" t="n">
        <f aca="false">IF($E$39=0,0,INDEX(D5:D24,$E$39))</f>
        <v>2334.36821409</v>
      </c>
    </row>
    <row r="44" customFormat="false" ht="15" hidden="false" customHeight="false" outlineLevel="0" collapsed="false">
      <c r="A44" s="10" t="s">
        <v>92</v>
      </c>
      <c r="B44" s="10"/>
      <c r="C44" s="10"/>
      <c r="D44" s="10"/>
      <c r="E44" s="11" t="n">
        <f aca="false">IF($E$40=0,0,INDEX(K5:K24,$E$40))</f>
        <v>983.169864174237</v>
      </c>
    </row>
    <row r="45" customFormat="false" ht="15" hidden="false" customHeight="false" outlineLevel="0" collapsed="false">
      <c r="A45" s="10" t="s">
        <v>93</v>
      </c>
      <c r="B45" s="10"/>
      <c r="C45" s="10"/>
      <c r="D45" s="10"/>
      <c r="E45" s="11" t="n">
        <f aca="false">IF($E$41=0,0,INDEX(R5:R34,$E$41))</f>
        <v>1959.67803600965</v>
      </c>
    </row>
    <row r="46" customFormat="false" ht="15" hidden="false" customHeight="false" outlineLevel="0" collapsed="false">
      <c r="A46" s="13" t="s">
        <v>14</v>
      </c>
      <c r="B46" s="13"/>
      <c r="C46" s="13"/>
      <c r="D46" s="13"/>
      <c r="E46" s="34" t="n">
        <f aca="false">$E$43+$E$44+$E$45</f>
        <v>5277.21611427389</v>
      </c>
    </row>
    <row r="47" customFormat="false" ht="15" hidden="false" customHeight="false" outlineLevel="0" collapsed="false">
      <c r="A47" s="10" t="s">
        <v>94</v>
      </c>
      <c r="B47" s="10"/>
      <c r="C47" s="10"/>
      <c r="D47" s="10"/>
      <c r="E47" s="6" t="n">
        <f aca="false">MIN(Temp_Worker_Max,IF($E$46&lt;=Own_Labor_Hours,0,CEILING(($E$46-Own_Labor_Hours)/Temp_Worker_Hours,1)))</f>
        <v>4</v>
      </c>
    </row>
    <row r="48" customFormat="false" ht="15" hidden="false" customHeight="false" outlineLevel="0" collapsed="false">
      <c r="A48" s="10" t="s">
        <v>95</v>
      </c>
      <c r="B48" s="10"/>
      <c r="C48" s="10"/>
      <c r="D48" s="10"/>
      <c r="E48" s="11" t="n">
        <f aca="false">MAX(0,$E$46-Own_Labor_Hours)/Temp_Worker_Hours</f>
        <v>3.1647334126902</v>
      </c>
    </row>
    <row r="49" customFormat="false" ht="15" hidden="false" customHeight="false" outlineLevel="0" collapsed="false">
      <c r="A49" s="10" t="s">
        <v>96</v>
      </c>
      <c r="B49" s="10"/>
      <c r="C49" s="10"/>
      <c r="D49" s="10"/>
      <c r="E49" s="12" t="n">
        <f aca="false">MIN($E$46,Own_Labor_Hours)*Farmer_Implied_Wage+MAX(0,$E$46-Own_Labor_Hours)*Temp_Wage_Per_Hour</f>
        <v>104118.335317255</v>
      </c>
    </row>
    <row r="50" customFormat="false" ht="15" hidden="false" customHeight="false" outlineLevel="0" collapsed="false">
      <c r="A50" s="10" t="s">
        <v>7</v>
      </c>
      <c r="B50" s="10"/>
      <c r="C50" s="10"/>
      <c r="D50" s="10"/>
      <c r="E50" s="12" t="n">
        <f aca="false">$E$39*Tomato_Price+$E$40*Carrot_Price+$E$41*Mesclun_Price</f>
        <v>210880</v>
      </c>
    </row>
    <row r="51" customFormat="false" ht="15" hidden="false" customHeight="false" outlineLevel="0" collapsed="false">
      <c r="A51" s="10" t="s">
        <v>15</v>
      </c>
      <c r="B51" s="10"/>
      <c r="C51" s="10"/>
      <c r="D51" s="10"/>
      <c r="E51" s="12" t="n">
        <f aca="false">$E$39*Tomato_Fertilizer_Per_Bed+$E$40*Carrot_Fertilizer_Per_Bed+$E$41*Mesclun_Fertilizer_Per_Bed</f>
        <v>44000</v>
      </c>
    </row>
    <row r="52" customFormat="false" ht="15" hidden="false" customHeight="false" outlineLevel="0" collapsed="false">
      <c r="A52" s="13" t="s">
        <v>97</v>
      </c>
      <c r="B52" s="13"/>
      <c r="C52" s="13"/>
      <c r="D52" s="13"/>
      <c r="E52" s="14" t="n">
        <f aca="false">$E$50-$E$51-$E$49</f>
        <v>62761.664682745</v>
      </c>
    </row>
    <row r="53" customFormat="false" ht="15" hidden="false" customHeight="false" outlineLevel="0" collapsed="false">
      <c r="A53" s="13" t="s">
        <v>98</v>
      </c>
      <c r="B53" s="13"/>
      <c r="C53" s="13"/>
      <c r="D53" s="13"/>
      <c r="E53" s="14" t="n">
        <f aca="false">$E$52-Fixed_Cost</f>
        <v>42761.664682745</v>
      </c>
    </row>
    <row r="55" customFormat="false" ht="15" hidden="false" customHeight="false" outlineLevel="0" collapsed="false">
      <c r="A55" s="35" t="s">
        <v>99</v>
      </c>
    </row>
    <row r="56" customFormat="false" ht="15" hidden="false" customHeight="false" outlineLevel="0" collapsed="false">
      <c r="A56" s="10" t="s">
        <v>100</v>
      </c>
      <c r="B56" s="10"/>
      <c r="C56" s="10"/>
      <c r="D56" s="10"/>
      <c r="E56" s="20" t="str">
        <f aca="false">IF($E$39&lt;=Tomato_Bed_Cap,"OK","VIOLATION")</f>
        <v>OK</v>
      </c>
    </row>
    <row r="57" customFormat="false" ht="15" hidden="false" customHeight="false" outlineLevel="0" collapsed="false">
      <c r="A57" s="10" t="s">
        <v>101</v>
      </c>
      <c r="B57" s="10"/>
      <c r="C57" s="10"/>
      <c r="D57" s="10"/>
      <c r="E57" s="20" t="str">
        <f aca="false">IF($E$40&lt;=Carrot_Bed_Cap,"OK","VIOLATION")</f>
        <v>OK</v>
      </c>
    </row>
    <row r="58" customFormat="false" ht="15" hidden="false" customHeight="false" outlineLevel="0" collapsed="false">
      <c r="A58" s="10" t="s">
        <v>102</v>
      </c>
      <c r="B58" s="10"/>
      <c r="C58" s="10"/>
      <c r="D58" s="10"/>
      <c r="E58" s="20" t="str">
        <f aca="false">IF($E$41&lt;=Mesclun_Bed_Cap,"OK","VIOLATION")</f>
        <v>OK</v>
      </c>
    </row>
    <row r="59" customFormat="false" ht="15" hidden="false" customHeight="false" outlineLevel="0" collapsed="false">
      <c r="A59" s="10" t="s">
        <v>103</v>
      </c>
      <c r="B59" s="10"/>
      <c r="C59" s="10"/>
      <c r="D59" s="10"/>
      <c r="E59" s="20" t="str">
        <f aca="false">IF($E$39+$E$40+$E$41&lt;=Total_Beds,"OK","VIOLATION")</f>
        <v>OK</v>
      </c>
    </row>
    <row r="60" customFormat="false" ht="15" hidden="false" customHeight="false" outlineLevel="0" collapsed="false">
      <c r="A60" s="10" t="s">
        <v>104</v>
      </c>
      <c r="B60" s="10"/>
      <c r="C60" s="10"/>
      <c r="D60" s="10"/>
      <c r="E60" s="20" t="str">
        <f aca="false">IF(AND($E$42=INT($E$42),$E$42&gt;=0,$E$42&lt;=Temp_Worker_Max),"OK","VIOLATION")</f>
        <v>OK</v>
      </c>
    </row>
    <row r="61" customFormat="false" ht="15" hidden="false" customHeight="false" outlineLevel="0" collapsed="false">
      <c r="A61" s="10" t="s">
        <v>105</v>
      </c>
      <c r="B61" s="10"/>
      <c r="C61" s="10"/>
      <c r="D61" s="10"/>
      <c r="E61" s="20" t="str">
        <f aca="false">IF($E$46&lt;=Own_Labor_Hours+$E$42*Temp_Worker_Hours,"OK","VIOLATION - hire more workers")</f>
        <v>OK</v>
      </c>
    </row>
    <row r="62" customFormat="false" ht="15" hidden="false" customHeight="false" outlineLevel="0" collapsed="false">
      <c r="A62" s="10" t="s">
        <v>106</v>
      </c>
      <c r="B62" s="10"/>
      <c r="C62" s="10"/>
      <c r="D62" s="10"/>
      <c r="E62" s="20" t="str">
        <f aca="false">IF($E$42&gt;=$E$47,"OK","VIOLATION - under-hired")</f>
        <v>OK</v>
      </c>
    </row>
    <row r="65" customFormat="false" ht="15" hidden="false" customHeight="false" outlineLevel="0" collapsed="false">
      <c r="A65" s="3" t="s">
        <v>107</v>
      </c>
      <c r="B65" s="3"/>
      <c r="C65" s="3"/>
      <c r="D65" s="3"/>
      <c r="E65" s="3"/>
      <c r="F65" s="3"/>
    </row>
    <row r="66" customFormat="false" ht="15" hidden="false" customHeight="false" outlineLevel="0" collapsed="false">
      <c r="A66" s="10" t="s">
        <v>108</v>
      </c>
      <c r="B66" s="10"/>
      <c r="C66" s="10"/>
      <c r="D66" s="10"/>
      <c r="E66" s="20" t="str">
        <f aca="false">IF($E$40&gt;$E$41,"FAILS - carrots &gt; mesclun","holds")</f>
        <v>holds</v>
      </c>
    </row>
    <row r="68" customFormat="false" ht="15" hidden="false" customHeight="false" outlineLevel="0" collapsed="false">
      <c r="A68" s="3" t="s">
        <v>109</v>
      </c>
      <c r="B68" s="3"/>
      <c r="C68" s="3"/>
      <c r="D68" s="3"/>
      <c r="E68" s="3"/>
      <c r="F68" s="3"/>
    </row>
    <row r="69" customFormat="false" ht="15" hidden="false" customHeight="false" outlineLevel="0" collapsed="false">
      <c r="A69" s="16" t="s">
        <v>110</v>
      </c>
      <c r="B69" s="16"/>
      <c r="C69" s="16"/>
      <c r="D69" s="16"/>
      <c r="E69" s="30" t="str">
        <f aca="false">IF(($E$40+1)&gt;Carrot_Bed_Cap,"N/A",IF(($E$40+1)=0,0,INDEX(K5:K24,($E$40+1))))</f>
        <v>N/A</v>
      </c>
    </row>
    <row r="70" customFormat="false" ht="15" hidden="false" customHeight="false" outlineLevel="0" collapsed="false">
      <c r="A70" s="16" t="s">
        <v>111</v>
      </c>
      <c r="B70" s="16"/>
      <c r="C70" s="16"/>
      <c r="D70" s="16"/>
      <c r="E70" s="30" t="n">
        <f aca="false">IF(($E$41-1)&lt;=0,0,INDEX(R5:R34,($E$41-1)))</f>
        <v>1870.96833067588</v>
      </c>
    </row>
    <row r="71" customFormat="false" ht="15" hidden="false" customHeight="false" outlineLevel="0" collapsed="false">
      <c r="A71" s="16" t="s">
        <v>112</v>
      </c>
      <c r="B71" s="16"/>
      <c r="C71" s="16"/>
      <c r="D71" s="16"/>
      <c r="E71" s="30" t="str">
        <f aca="false">IF(ISTEXT(E69),"N/A",$E$43+E69+E70)</f>
        <v>N/A</v>
      </c>
    </row>
    <row r="72" customFormat="false" ht="15" hidden="false" customHeight="false" outlineLevel="0" collapsed="false">
      <c r="A72" s="16" t="s">
        <v>113</v>
      </c>
      <c r="B72" s="16"/>
      <c r="C72" s="16"/>
      <c r="D72" s="16"/>
      <c r="E72" s="18" t="str">
        <f aca="false">IF(ISTEXT(E71),"N/A",MIN(E71,Own_Labor_Hours)*Farmer_Implied_Wage+MAX(0,E71-Own_Labor_Hours)*Temp_Wage_Per_Hour)</f>
        <v>N/A</v>
      </c>
    </row>
    <row r="73" customFormat="false" ht="15" hidden="false" customHeight="false" outlineLevel="0" collapsed="false">
      <c r="A73" s="16" t="s">
        <v>114</v>
      </c>
      <c r="B73" s="16"/>
      <c r="C73" s="16"/>
      <c r="D73" s="16"/>
      <c r="E73" s="19" t="str">
        <f aca="false">IF(ISTEXT(E72),"N/A",$E$39*Tomato_Price+($E$40+1)*Carrot_Price+($E$41-1)*Mesclun_Price-($E$39*Tomato_Fertilizer_Per_Bed+($E$40+1)*Carrot_Fertilizer_Per_Bed+($E$41-1)*Mesclun_Fertilizer_Per_Bed)-E72)</f>
        <v>N/A</v>
      </c>
    </row>
    <row r="74" customFormat="false" ht="15" hidden="false" customHeight="false" outlineLevel="0" collapsed="false">
      <c r="A74" s="16" t="s">
        <v>115</v>
      </c>
      <c r="B74" s="16"/>
      <c r="C74" s="16"/>
      <c r="D74" s="16"/>
      <c r="E74" s="19" t="str">
        <f aca="false">IF(ISTEXT(E73),"N/A",E73-$E$52)</f>
        <v>N/A</v>
      </c>
    </row>
    <row r="75" customFormat="false" ht="15" hidden="false" customHeight="false" outlineLevel="0" collapsed="false">
      <c r="A75" s="16" t="s">
        <v>116</v>
      </c>
      <c r="B75" s="16"/>
      <c r="C75" s="16"/>
      <c r="D75" s="16"/>
      <c r="E75" s="20" t="str">
        <f aca="false">IF(ISTEXT(E74),"N/A - carrot is already at its bed cap, can't add a bed there",IF(E74&gt;0,"FAILS - swap raises contribution, mesclun overconcentrated","holds - current mix is locally optimal for this swap"))</f>
        <v>N/A - carrot is already at its bed cap, can't add a bed there</v>
      </c>
    </row>
    <row r="78" customFormat="false" ht="17.35" hidden="false" customHeight="false" outlineLevel="0" collapsed="false">
      <c r="A78" s="1" t="s">
        <v>117</v>
      </c>
      <c r="B78" s="1"/>
      <c r="C78" s="1"/>
      <c r="D78" s="1"/>
      <c r="E78" s="1"/>
      <c r="F78" s="1"/>
      <c r="G78" s="1"/>
      <c r="H78" s="1"/>
      <c r="I78" s="1"/>
    </row>
    <row r="79" customFormat="false" ht="15" hidden="false" customHeight="false" outlineLevel="0" collapsed="false">
      <c r="A79" s="2" t="s">
        <v>118</v>
      </c>
      <c r="B79" s="2"/>
      <c r="C79" s="2"/>
      <c r="D79" s="2"/>
      <c r="E79" s="2"/>
      <c r="F79" s="2"/>
      <c r="G79" s="2"/>
      <c r="H79" s="2"/>
      <c r="I79" s="2"/>
    </row>
    <row r="81" customFormat="false" ht="191.75" hidden="false" customHeight="false" outlineLevel="0" collapsed="false">
      <c r="A81" s="29" t="s">
        <v>119</v>
      </c>
      <c r="B81" s="29" t="s">
        <v>120</v>
      </c>
      <c r="C81" s="29" t="s">
        <v>121</v>
      </c>
      <c r="D81" s="29" t="s">
        <v>122</v>
      </c>
      <c r="E81" s="29" t="s">
        <v>123</v>
      </c>
      <c r="F81" s="29" t="s">
        <v>124</v>
      </c>
      <c r="G81" s="29" t="s">
        <v>125</v>
      </c>
      <c r="H81" s="29" t="s">
        <v>126</v>
      </c>
      <c r="I81" s="29" t="s">
        <v>127</v>
      </c>
    </row>
    <row r="82" customFormat="false" ht="15" hidden="false" customHeight="false" outlineLevel="0" collapsed="false">
      <c r="A82" s="17" t="n">
        <v>1</v>
      </c>
      <c r="B82" s="5" t="str">
        <f aca="false">IF(NOT(AND(MAX(G82,H82,I82)&gt;0,0+0+0&lt;Total_Beds)),"(stopped)",IF(G82=MAX(G82,H82,I82),"Tomato",IF(H82=MAX(G82,H82,I82),"Carrot","Mesclun")))</f>
        <v>Tomato</v>
      </c>
      <c r="C82" s="17" t="n">
        <f aca="false">0+IF(B82="Tomato",1,0)</f>
        <v>1</v>
      </c>
      <c r="D82" s="17" t="n">
        <f aca="false">0+IF(B82="Carrot",1,0)</f>
        <v>0</v>
      </c>
      <c r="E82" s="17" t="n">
        <f aca="false">0+IF(B82="Mesclun",1,0)</f>
        <v>0</v>
      </c>
      <c r="F82" s="30" t="n">
        <f aca="false">0+IF(B82="Tomato",INDEX(C5:C24,0+1),IF(B82="Carrot",INDEX(J5:J24,0+1),IF(B82="Mesclun",INDEX(Q5:Q34,0+1),0)))</f>
        <v>99</v>
      </c>
      <c r="G82" s="31" t="n">
        <f aca="false">IF(0&lt;Tomato_Bed_Cap,Tomato_Price-(MAX(0,MIN(0+INDEX(C5:C24,0+1),Own_Labor_Hours)-MIN(0,Own_Labor_Hours))*Farmer_Implied_Wage+(INDEX(C5:C24,0+1)-MAX(0,MIN(0+INDEX(C5:C24,0+1),Own_Labor_Hours)-MIN(0,Own_Labor_Hours)))*Temp_Wage_Per_Hour+Tomato_Fertilizer_Per_Bed),-1E+018)</f>
        <v>4482.5</v>
      </c>
      <c r="H82" s="31" t="n">
        <f aca="false">IF(0&lt;Carrot_Bed_Cap,Carrot_Price-(MAX(0,MIN(0+INDEX(J5:J24,0+1),Own_Labor_Hours)-MIN(0,Own_Labor_Hours))*Farmer_Implied_Wage+(INDEX(J5:J24,0+1)-MAX(0,MIN(0+INDEX(J5:J24,0+1),Own_Labor_Hours)-MIN(0,Own_Labor_Hours)))*Temp_Wage_Per_Hour+Carrot_Fertilizer_Per_Bed),-1E+018)</f>
        <v>586.291666666667</v>
      </c>
      <c r="I82" s="31" t="n">
        <f aca="false">IF(0&lt;Mesclun_Bed_Cap,Mesclun_Price-(MAX(0,MIN(0+INDEX(Q5:Q34,0+1),Own_Labor_Hours)-MIN(0,Own_Labor_Hours))*Farmer_Implied_Wage+(INDEX(Q5:Q34,0+1)-MAX(0,MIN(0+INDEX(Q5:Q34,0+1),Own_Labor_Hours)-MIN(0,Own_Labor_Hours)))*Temp_Wage_Per_Hour+Mesclun_Fertilizer_Per_Bed),-1E+018)</f>
        <v>237.96875</v>
      </c>
    </row>
    <row r="83" customFormat="false" ht="15" hidden="false" customHeight="false" outlineLevel="0" collapsed="false">
      <c r="A83" s="17" t="n">
        <v>2</v>
      </c>
      <c r="B83" s="5" t="str">
        <f aca="false">IF(NOT(AND(MAX(G83,H83,I83)&gt;0,C82+D82+E82&lt;Total_Beds)),"(stopped)",IF(G83=MAX(G83,H83,I83),"Tomato",IF(H83=MAX(G83,H83,I83),"Carrot","Mesclun")))</f>
        <v>Tomato</v>
      </c>
      <c r="C83" s="17" t="n">
        <f aca="false">C82+IF(B83="Tomato",1,0)</f>
        <v>2</v>
      </c>
      <c r="D83" s="17" t="n">
        <f aca="false">D82+IF(B83="Carrot",1,0)</f>
        <v>0</v>
      </c>
      <c r="E83" s="17" t="n">
        <f aca="false">E82+IF(B83="Mesclun",1,0)</f>
        <v>0</v>
      </c>
      <c r="F83" s="30" t="n">
        <f aca="false">F82+IF(B83="Tomato",INDEX(C5:C24,C82+1),IF(B83="Carrot",INDEX(J5:J24,D82+1),IF(B83="Mesclun",INDEX(Q5:Q34,E82+1),0)))</f>
        <v>217.8</v>
      </c>
      <c r="G83" s="31" t="n">
        <f aca="false">IF(C82&lt;Tomato_Bed_Cap,Tomato_Price-(MAX(0,MIN(F82+INDEX(C5:C24,C82+1),Own_Labor_Hours)-MIN(F82,Own_Labor_Hours))*Farmer_Implied_Wage+(INDEX(C5:C24,C82+1)-MAX(0,MIN(F82+INDEX(C5:C24,C82+1),Own_Labor_Hours)-MIN(F82,Own_Labor_Hours)))*Temp_Wage_Per_Hour+Tomato_Fertilizer_Per_Bed),-1E+018)</f>
        <v>3795</v>
      </c>
      <c r="H83" s="31" t="n">
        <f aca="false">IF(D82&lt;Carrot_Bed_Cap,Carrot_Price-(MAX(0,MIN(F82+INDEX(J5:J24,D82+1),Own_Labor_Hours)-MIN(F82,Own_Labor_Hours))*Farmer_Implied_Wage+(INDEX(J5:J24,D82+1)-MAX(0,MIN(F82+INDEX(J5:J24,D82+1),Own_Labor_Hours)-MIN(F82,Own_Labor_Hours)))*Temp_Wage_Per_Hour+Carrot_Fertilizer_Per_Bed),-1E+018)</f>
        <v>586.291666666667</v>
      </c>
      <c r="I83" s="31" t="n">
        <f aca="false">IF(E82&lt;Mesclun_Bed_Cap,Mesclun_Price-(MAX(0,MIN(F82+INDEX(Q5:Q34,E82+1),Own_Labor_Hours)-MIN(F82,Own_Labor_Hours))*Farmer_Implied_Wage+(INDEX(Q5:Q34,E82+1)-MAX(0,MIN(F82+INDEX(Q5:Q34,E82+1),Own_Labor_Hours)-MIN(F82,Own_Labor_Hours)))*Temp_Wage_Per_Hour+Mesclun_Fertilizer_Per_Bed),-1E+018)</f>
        <v>237.96875</v>
      </c>
    </row>
    <row r="84" customFormat="false" ht="15" hidden="false" customHeight="false" outlineLevel="0" collapsed="false">
      <c r="A84" s="17" t="n">
        <v>3</v>
      </c>
      <c r="B84" s="5" t="str">
        <f aca="false">IF(NOT(AND(MAX(G84,H84,I84)&gt;0,C83+D83+E83&lt;Total_Beds)),"(stopped)",IF(G84=MAX(G84,H84,I84),"Tomato",IF(H84=MAX(G84,H84,I84),"Carrot","Mesclun")))</f>
        <v>Tomato</v>
      </c>
      <c r="C84" s="17" t="n">
        <f aca="false">C83+IF(B84="Tomato",1,0)</f>
        <v>3</v>
      </c>
      <c r="D84" s="17" t="n">
        <f aca="false">D83+IF(B84="Carrot",1,0)</f>
        <v>0</v>
      </c>
      <c r="E84" s="17" t="n">
        <f aca="false">E83+IF(B84="Mesclun",1,0)</f>
        <v>0</v>
      </c>
      <c r="F84" s="30" t="n">
        <f aca="false">F83+IF(B84="Tomato",INDEX(C5:C24,C83+1),IF(B84="Carrot",INDEX(J5:J24,D83+1),IF(B84="Mesclun",INDEX(Q5:Q34,E83+1),0)))</f>
        <v>359.37</v>
      </c>
      <c r="G84" s="31" t="n">
        <f aca="false">IF(C83&lt;Tomato_Bed_Cap,Tomato_Price-(MAX(0,MIN(F83+INDEX(C5:C24,C83+1),Own_Labor_Hours)-MIN(F83,Own_Labor_Hours))*Farmer_Implied_Wage+(INDEX(C5:C24,C83+1)-MAX(0,MIN(F83+INDEX(C5:C24,C83+1),Own_Labor_Hours)-MIN(F83,Own_Labor_Hours)))*Temp_Wage_Per_Hour+Tomato_Fertilizer_Per_Bed),-1E+018)</f>
        <v>3004.375</v>
      </c>
      <c r="H84" s="31" t="n">
        <f aca="false">IF(D83&lt;Carrot_Bed_Cap,Carrot_Price-(MAX(0,MIN(F83+INDEX(J5:J24,D83+1),Own_Labor_Hours)-MIN(F83,Own_Labor_Hours))*Farmer_Implied_Wage+(INDEX(J5:J24,D83+1)-MAX(0,MIN(F83+INDEX(J5:J24,D83+1),Own_Labor_Hours)-MIN(F83,Own_Labor_Hours)))*Temp_Wage_Per_Hour+Carrot_Fertilizer_Per_Bed),-1E+018)</f>
        <v>586.291666666667</v>
      </c>
      <c r="I84" s="31" t="n">
        <f aca="false">IF(E83&lt;Mesclun_Bed_Cap,Mesclun_Price-(MAX(0,MIN(F83+INDEX(Q5:Q34,E83+1),Own_Labor_Hours)-MIN(F83,Own_Labor_Hours))*Farmer_Implied_Wage+(INDEX(Q5:Q34,E83+1)-MAX(0,MIN(F83+INDEX(Q5:Q34,E83+1),Own_Labor_Hours)-MIN(F83,Own_Labor_Hours)))*Temp_Wage_Per_Hour+Mesclun_Fertilizer_Per_Bed),-1E+018)</f>
        <v>237.968749999999</v>
      </c>
    </row>
    <row r="85" customFormat="false" ht="15" hidden="false" customHeight="false" outlineLevel="0" collapsed="false">
      <c r="A85" s="17" t="n">
        <v>4</v>
      </c>
      <c r="B85" s="5" t="str">
        <f aca="false">IF(NOT(AND(MAX(G85,H85,I85)&gt;0,C84+D84+E84&lt;Total_Beds)),"(stopped)",IF(G85=MAX(G85,H85,I85),"Tomato",IF(H85=MAX(G85,H85,I85),"Carrot","Mesclun")))</f>
        <v>Tomato</v>
      </c>
      <c r="C85" s="17" t="n">
        <f aca="false">C84+IF(B85="Tomato",1,0)</f>
        <v>4</v>
      </c>
      <c r="D85" s="17" t="n">
        <f aca="false">D84+IF(B85="Carrot",1,0)</f>
        <v>0</v>
      </c>
      <c r="E85" s="17" t="n">
        <f aca="false">E84+IF(B85="Mesclun",1,0)</f>
        <v>0</v>
      </c>
      <c r="F85" s="30" t="n">
        <f aca="false">F84+IF(B85="Tomato",INDEX(C5:C24,C84+1),IF(B85="Carrot",INDEX(J5:J24,D84+1),IF(B85="Mesclun",INDEX(Q5:Q34,E84+1),0)))</f>
        <v>527.076</v>
      </c>
      <c r="G85" s="31" t="n">
        <f aca="false">IF(C84&lt;Tomato_Bed_Cap,Tomato_Price-(MAX(0,MIN(F84+INDEX(C5:C24,C84+1),Own_Labor_Hours)-MIN(F84,Own_Labor_Hours))*Farmer_Implied_Wage+(INDEX(C5:C24,C84+1)-MAX(0,MIN(F84+INDEX(C5:C24,C84+1),Own_Labor_Hours)-MIN(F84,Own_Labor_Hours)))*Temp_Wage_Per_Hour+Tomato_Fertilizer_Per_Bed),-1E+018)</f>
        <v>2096.875</v>
      </c>
      <c r="H85" s="31" t="n">
        <f aca="false">IF(D84&lt;Carrot_Bed_Cap,Carrot_Price-(MAX(0,MIN(F84+INDEX(J5:J24,D84+1),Own_Labor_Hours)-MIN(F84,Own_Labor_Hours))*Farmer_Implied_Wage+(INDEX(J5:J24,D84+1)-MAX(0,MIN(F84+INDEX(J5:J24,D84+1),Own_Labor_Hours)-MIN(F84,Own_Labor_Hours)))*Temp_Wage_Per_Hour+Carrot_Fertilizer_Per_Bed),-1E+018)</f>
        <v>586.291666666667</v>
      </c>
      <c r="I85" s="31" t="n">
        <f aca="false">IF(E84&lt;Mesclun_Bed_Cap,Mesclun_Price-(MAX(0,MIN(F84+INDEX(Q5:Q34,E84+1),Own_Labor_Hours)-MIN(F84,Own_Labor_Hours))*Farmer_Implied_Wage+(INDEX(Q5:Q34,E84+1)-MAX(0,MIN(F84+INDEX(Q5:Q34,E84+1),Own_Labor_Hours)-MIN(F84,Own_Labor_Hours)))*Temp_Wage_Per_Hour+Mesclun_Fertilizer_Per_Bed),-1E+018)</f>
        <v>237.96875</v>
      </c>
    </row>
    <row r="86" customFormat="false" ht="15" hidden="false" customHeight="false" outlineLevel="0" collapsed="false">
      <c r="A86" s="17" t="n">
        <v>5</v>
      </c>
      <c r="B86" s="5" t="str">
        <f aca="false">IF(NOT(AND(MAX(G86,H86,I86)&gt;0,C85+D85+E85&lt;Total_Beds)),"(stopped)",IF(G86=MAX(G86,H86,I86),"Tomato",IF(H86=MAX(G86,H86,I86),"Carrot","Mesclun")))</f>
        <v>Tomato</v>
      </c>
      <c r="C86" s="17" t="n">
        <f aca="false">C85+IF(B86="Tomato",1,0)</f>
        <v>5</v>
      </c>
      <c r="D86" s="17" t="n">
        <f aca="false">D85+IF(B86="Carrot",1,0)</f>
        <v>0</v>
      </c>
      <c r="E86" s="17" t="n">
        <f aca="false">E85+IF(B86="Mesclun",1,0)</f>
        <v>0</v>
      </c>
      <c r="F86" s="30" t="n">
        <f aca="false">F85+IF(B86="Tomato",INDEX(C5:C24,C85+1),IF(B86="Carrot",INDEX(J5:J24,D85+1),IF(B86="Mesclun",INDEX(Q5:Q34,E85+1),0)))</f>
        <v>724.7295</v>
      </c>
      <c r="G86" s="31" t="n">
        <f aca="false">IF(C85&lt;Tomato_Bed_Cap,Tomato_Price-(MAX(0,MIN(F85+INDEX(C5:C24,C85+1),Own_Labor_Hours)-MIN(F85,Own_Labor_Hours))*Farmer_Implied_Wage+(INDEX(C5:C24,C85+1)-MAX(0,MIN(F85+INDEX(C5:C24,C85+1),Own_Labor_Hours)-MIN(F85,Own_Labor_Hours)))*Temp_Wage_Per_Hour+Tomato_Fertilizer_Per_Bed),-1E+018)</f>
        <v>1139.140625</v>
      </c>
      <c r="H86" s="31" t="n">
        <f aca="false">IF(D85&lt;Carrot_Bed_Cap,Carrot_Price-(MAX(0,MIN(F85+INDEX(J5:J24,D85+1),Own_Labor_Hours)-MIN(F85,Own_Labor_Hours))*Farmer_Implied_Wage+(INDEX(J5:J24,D85+1)-MAX(0,MIN(F85+INDEX(J5:J24,D85+1),Own_Labor_Hours)-MIN(F85,Own_Labor_Hours)))*Temp_Wage_Per_Hour+Carrot_Fertilizer_Per_Bed),-1E+018)</f>
        <v>586.291666666667</v>
      </c>
      <c r="I86" s="31" t="n">
        <f aca="false">IF(E85&lt;Mesclun_Bed_Cap,Mesclun_Price-(MAX(0,MIN(F85+INDEX(Q5:Q34,E85+1),Own_Labor_Hours)-MIN(F85,Own_Labor_Hours))*Farmer_Implied_Wage+(INDEX(Q5:Q34,E85+1)-MAX(0,MIN(F85+INDEX(Q5:Q34,E85+1),Own_Labor_Hours)-MIN(F85,Own_Labor_Hours)))*Temp_Wage_Per_Hour+Mesclun_Fertilizer_Per_Bed),-1E+018)</f>
        <v>237.96875</v>
      </c>
    </row>
    <row r="87" customFormat="false" ht="15" hidden="false" customHeight="false" outlineLevel="0" collapsed="false">
      <c r="A87" s="17" t="n">
        <v>6</v>
      </c>
      <c r="B87" s="5" t="str">
        <f aca="false">IF(NOT(AND(MAX(G87,H87,I87)&gt;0,C86+D86+E86&lt;Total_Beds)),"(stopped)",IF(G87=MAX(G87,H87,I87),"Tomato",IF(H87=MAX(G87,H87,I87),"Carrot","Mesclun")))</f>
        <v>Tomato</v>
      </c>
      <c r="C87" s="17" t="n">
        <f aca="false">C86+IF(B87="Tomato",1,0)</f>
        <v>6</v>
      </c>
      <c r="D87" s="17" t="n">
        <f aca="false">D86+IF(B87="Carrot",1,0)</f>
        <v>0</v>
      </c>
      <c r="E87" s="17" t="n">
        <f aca="false">E86+IF(B87="Mesclun",1,0)</f>
        <v>0</v>
      </c>
      <c r="F87" s="30" t="n">
        <f aca="false">F86+IF(B87="Tomato",INDEX(C5:C24,C86+1),IF(B87="Carrot",INDEX(J5:J24,D86+1),IF(B87="Mesclun",INDEX(Q5:Q34,E86+1),0)))</f>
        <v>956.64294</v>
      </c>
      <c r="G87" s="31" t="n">
        <f aca="false">IF(C86&lt;Tomato_Bed_Cap,Tomato_Price-(MAX(0,MIN(F86+INDEX(C5:C24,C86+1),Own_Labor_Hours)-MIN(F86,Own_Labor_Hours))*Farmer_Implied_Wage+(INDEX(C5:C24,C86+1)-MAX(0,MIN(F86+INDEX(C5:C24,C86+1),Own_Labor_Hours)-MIN(F86,Own_Labor_Hours)))*Temp_Wage_Per_Hour+Tomato_Fertilizer_Per_Bed),-1E+018)</f>
        <v>3893.725</v>
      </c>
      <c r="H87" s="31" t="n">
        <f aca="false">IF(D86&lt;Carrot_Bed_Cap,Carrot_Price-(MAX(0,MIN(F86+INDEX(J5:J24,D86+1),Own_Labor_Hours)-MIN(F86,Own_Labor_Hours))*Farmer_Implied_Wage+(INDEX(J5:J24,D86+1)-MAX(0,MIN(F86+INDEX(J5:J24,D86+1),Own_Labor_Hours)-MIN(F86,Own_Labor_Hours)))*Temp_Wage_Per_Hour+Carrot_Fertilizer_Per_Bed),-1E+018)</f>
        <v>1120.14583333333</v>
      </c>
      <c r="I87" s="31" t="n">
        <f aca="false">IF(E86&lt;Mesclun_Bed_Cap,Mesclun_Price-(MAX(0,MIN(F86+INDEX(Q5:Q34,E86+1),Own_Labor_Hours)-MIN(F86,Own_Labor_Hours))*Farmer_Implied_Wage+(INDEX(Q5:Q34,E86+1)-MAX(0,MIN(F86+INDEX(Q5:Q34,E86+1),Own_Labor_Hours)-MIN(F86,Own_Labor_Hours)))*Temp_Wage_Per_Hour+Mesclun_Fertilizer_Per_Bed),-1E+018)</f>
        <v>1028.984375</v>
      </c>
    </row>
    <row r="88" customFormat="false" ht="15" hidden="false" customHeight="false" outlineLevel="0" collapsed="false">
      <c r="A88" s="17" t="n">
        <v>7</v>
      </c>
      <c r="B88" s="5" t="str">
        <f aca="false">IF(NOT(AND(MAX(G88,H88,I88)&gt;0,C87+D87+E87&lt;Total_Beds)),"(stopped)",IF(G88=MAX(G88,H88,I88),"Tomato",IF(H88=MAX(G88,H88,I88),"Carrot","Mesclun")))</f>
        <v>Tomato</v>
      </c>
      <c r="C88" s="17" t="n">
        <f aca="false">C87+IF(B88="Tomato",1,0)</f>
        <v>7</v>
      </c>
      <c r="D88" s="17" t="n">
        <f aca="false">D87+IF(B88="Carrot",1,0)</f>
        <v>0</v>
      </c>
      <c r="E88" s="17" t="n">
        <f aca="false">E87+IF(B88="Mesclun",1,0)</f>
        <v>0</v>
      </c>
      <c r="F88" s="30" t="n">
        <f aca="false">F87+IF(B88="Tomato",INDEX(C5:C24,C87+1),IF(B88="Carrot",INDEX(J5:J24,D87+1),IF(B88="Mesclun",INDEX(Q5:Q34,E87+1),0)))</f>
        <v>1227.691773</v>
      </c>
      <c r="G88" s="31" t="n">
        <f aca="false">IF(C87&lt;Tomato_Bed_Cap,Tomato_Price-(MAX(0,MIN(F87+INDEX(C5:C24,C87+1),Own_Labor_Hours)-MIN(F87,Own_Labor_Hours))*Farmer_Implied_Wage+(INDEX(C5:C24,C87+1)-MAX(0,MIN(F87+INDEX(C5:C24,C87+1),Own_Labor_Hours)-MIN(F87,Own_Labor_Hours)))*Temp_Wage_Per_Hour+Tomato_Fertilizer_Per_Bed),-1E+018)</f>
        <v>3214.29109375</v>
      </c>
      <c r="H88" s="31" t="n">
        <f aca="false">IF(D87&lt;Carrot_Bed_Cap,Carrot_Price-(MAX(0,MIN(F87+INDEX(J5:J24,D87+1),Own_Labor_Hours)-MIN(F87,Own_Labor_Hours))*Farmer_Implied_Wage+(INDEX(J5:J24,D87+1)-MAX(0,MIN(F87+INDEX(J5:J24,D87+1),Own_Labor_Hours)-MIN(F87,Own_Labor_Hours)))*Temp_Wage_Per_Hour+Carrot_Fertilizer_Per_Bed),-1E+018)</f>
        <v>1120.14583333333</v>
      </c>
      <c r="I88" s="31" t="n">
        <f aca="false">IF(E87&lt;Mesclun_Bed_Cap,Mesclun_Price-(MAX(0,MIN(F87+INDEX(Q5:Q34,E87+1),Own_Labor_Hours)-MIN(F87,Own_Labor_Hours))*Farmer_Implied_Wage+(INDEX(Q5:Q34,E87+1)-MAX(0,MIN(F87+INDEX(Q5:Q34,E87+1),Own_Labor_Hours)-MIN(F87,Own_Labor_Hours)))*Temp_Wage_Per_Hour+Mesclun_Fertilizer_Per_Bed),-1E+018)</f>
        <v>1028.984375</v>
      </c>
    </row>
    <row r="89" customFormat="false" ht="15" hidden="false" customHeight="false" outlineLevel="0" collapsed="false">
      <c r="A89" s="17" t="n">
        <v>8</v>
      </c>
      <c r="B89" s="5" t="str">
        <f aca="false">IF(NOT(AND(MAX(G89,H89,I89)&gt;0,C88+D88+E88&lt;Total_Beds)),"(stopped)",IF(G89=MAX(G89,H89,I89),"Tomato",IF(H89=MAX(G89,H89,I89),"Carrot","Mesclun")))</f>
        <v>Tomato</v>
      </c>
      <c r="C89" s="17" t="n">
        <f aca="false">C88+IF(B89="Tomato",1,0)</f>
        <v>8</v>
      </c>
      <c r="D89" s="17" t="n">
        <f aca="false">D88+IF(B89="Carrot",1,0)</f>
        <v>0</v>
      </c>
      <c r="E89" s="17" t="n">
        <f aca="false">E88+IF(B89="Mesclun",1,0)</f>
        <v>0</v>
      </c>
      <c r="F89" s="30" t="n">
        <f aca="false">F88+IF(B89="Tomato",INDEX(C5:C24,C88+1),IF(B89="Carrot",INDEX(J5:J24,D88+1),IF(B89="Mesclun",INDEX(Q5:Q34,E88+1),0)))</f>
        <v>1543.3839432</v>
      </c>
      <c r="G89" s="31" t="n">
        <f aca="false">IF(C88&lt;Tomato_Bed_Cap,Tomato_Price-(MAX(0,MIN(F88+INDEX(C5:C24,C88+1),Own_Labor_Hours)-MIN(F88,Own_Labor_Hours))*Farmer_Implied_Wage+(INDEX(C5:C24,C88+1)-MAX(0,MIN(F88+INDEX(C5:C24,C88+1),Own_Labor_Hours)-MIN(F88,Own_Labor_Hours)))*Temp_Wage_Per_Hour+Tomato_Fertilizer_Per_Bed),-1E+018)</f>
        <v>2439.23315624999</v>
      </c>
      <c r="H89" s="31" t="n">
        <f aca="false">IF(D88&lt;Carrot_Bed_Cap,Carrot_Price-(MAX(0,MIN(F88+INDEX(J5:J24,D88+1),Own_Labor_Hours)-MIN(F88,Own_Labor_Hours))*Farmer_Implied_Wage+(INDEX(J5:J24,D88+1)-MAX(0,MIN(F88+INDEX(J5:J24,D88+1),Own_Labor_Hours)-MIN(F88,Own_Labor_Hours)))*Temp_Wage_Per_Hour+Carrot_Fertilizer_Per_Bed),-1E+018)</f>
        <v>1120.14583333333</v>
      </c>
      <c r="I89" s="31" t="n">
        <f aca="false">IF(E88&lt;Mesclun_Bed_Cap,Mesclun_Price-(MAX(0,MIN(F88+INDEX(Q5:Q34,E88+1),Own_Labor_Hours)-MIN(F88,Own_Labor_Hours))*Farmer_Implied_Wage+(INDEX(Q5:Q34,E88+1)-MAX(0,MIN(F88+INDEX(Q5:Q34,E88+1),Own_Labor_Hours)-MIN(F88,Own_Labor_Hours)))*Temp_Wage_Per_Hour+Mesclun_Fertilizer_Per_Bed),-1E+018)</f>
        <v>1028.984375</v>
      </c>
    </row>
    <row r="90" customFormat="false" ht="15" hidden="false" customHeight="false" outlineLevel="0" collapsed="false">
      <c r="A90" s="17" t="n">
        <v>9</v>
      </c>
      <c r="B90" s="5" t="str">
        <f aca="false">IF(NOT(AND(MAX(G90,H90,I90)&gt;0,C89+D89+E89&lt;Total_Beds)),"(stopped)",IF(G90=MAX(G90,H90,I90),"Tomato",IF(H90=MAX(G90,H90,I90),"Carrot","Mesclun")))</f>
        <v>Tomato</v>
      </c>
      <c r="C90" s="17" t="n">
        <f aca="false">C89+IF(B90="Tomato",1,0)</f>
        <v>9</v>
      </c>
      <c r="D90" s="17" t="n">
        <f aca="false">D89+IF(B90="Carrot",1,0)</f>
        <v>0</v>
      </c>
      <c r="E90" s="17" t="n">
        <f aca="false">E89+IF(B90="Mesclun",1,0)</f>
        <v>0</v>
      </c>
      <c r="F90" s="30" t="n">
        <f aca="false">F89+IF(B90="Tomato",INDEX(C5:C24,C89+1),IF(B90="Carrot",INDEX(J5:J24,D89+1),IF(B90="Mesclun",INDEX(Q5:Q34,E89+1),0)))</f>
        <v>1909.93762971</v>
      </c>
      <c r="G90" s="31" t="n">
        <f aca="false">IF(C89&lt;Tomato_Bed_Cap,Tomato_Price-(MAX(0,MIN(F89+INDEX(C5:C24,C89+1),Own_Labor_Hours)-MIN(F89,Own_Labor_Hours))*Farmer_Implied_Wage+(INDEX(C5:C24,C89+1)-MAX(0,MIN(F89+INDEX(C5:C24,C89+1),Own_Labor_Hours)-MIN(F89,Own_Labor_Hours)))*Temp_Wage_Per_Hour+Tomato_Fertilizer_Per_Bed),-1E+018)</f>
        <v>1556.22072031249</v>
      </c>
      <c r="H90" s="31" t="n">
        <f aca="false">IF(D89&lt;Carrot_Bed_Cap,Carrot_Price-(MAX(0,MIN(F89+INDEX(J5:J24,D89+1),Own_Labor_Hours)-MIN(F89,Own_Labor_Hours))*Farmer_Implied_Wage+(INDEX(J5:J24,D89+1)-MAX(0,MIN(F89+INDEX(J5:J24,D89+1),Own_Labor_Hours)-MIN(F89,Own_Labor_Hours)))*Temp_Wage_Per_Hour+Carrot_Fertilizer_Per_Bed),-1E+018)</f>
        <v>1120.14583333333</v>
      </c>
      <c r="I90" s="31" t="n">
        <f aca="false">IF(E89&lt;Mesclun_Bed_Cap,Mesclun_Price-(MAX(0,MIN(F89+INDEX(Q5:Q34,E89+1),Own_Labor_Hours)-MIN(F89,Own_Labor_Hours))*Farmer_Implied_Wage+(INDEX(Q5:Q34,E89+1)-MAX(0,MIN(F89+INDEX(Q5:Q34,E89+1),Own_Labor_Hours)-MIN(F89,Own_Labor_Hours)))*Temp_Wage_Per_Hour+Mesclun_Fertilizer_Per_Bed),-1E+018)</f>
        <v>1028.984375</v>
      </c>
    </row>
    <row r="91" customFormat="false" ht="15" hidden="false" customHeight="false" outlineLevel="0" collapsed="false">
      <c r="A91" s="17" t="n">
        <v>10</v>
      </c>
      <c r="B91" s="5" t="str">
        <f aca="false">IF(NOT(AND(MAX(G91,H91,I91)&gt;0,C90+D90+E90&lt;Total_Beds)),"(stopped)",IF(G91=MAX(G91,H91,I91),"Tomato",IF(H91=MAX(G91,H91,I91),"Carrot","Mesclun")))</f>
        <v>Carrot</v>
      </c>
      <c r="C91" s="17" t="n">
        <f aca="false">C90+IF(B91="Tomato",1,0)</f>
        <v>9</v>
      </c>
      <c r="D91" s="17" t="n">
        <f aca="false">D90+IF(B91="Carrot",1,0)</f>
        <v>1</v>
      </c>
      <c r="E91" s="17" t="n">
        <f aca="false">E90+IF(B91="Mesclun",1,0)</f>
        <v>0</v>
      </c>
      <c r="F91" s="30" t="n">
        <f aca="false">F90+IF(B91="Tomato",INDEX(C5:C24,C90+1),IF(B91="Carrot",INDEX(J5:J24,D90+1),IF(B91="Mesclun",INDEX(Q5:Q34,E90+1),0)))</f>
        <v>1940.68762971</v>
      </c>
      <c r="G91" s="31" t="n">
        <f aca="false">IF(C90&lt;Tomato_Bed_Cap,Tomato_Price-(MAX(0,MIN(F90+INDEX(C5:C24,C90+1),Own_Labor_Hours)-MIN(F90,Own_Labor_Hours))*Farmer_Implied_Wage+(INDEX(C5:C24,C90+1)-MAX(0,MIN(F90+INDEX(C5:C24,C90+1),Own_Labor_Hours)-MIN(F90,Own_Labor_Hours)))*Temp_Wage_Per_Hour+Tomato_Fertilizer_Per_Bed),-1E+018)</f>
        <v>551.413465624995</v>
      </c>
      <c r="H91" s="31" t="n">
        <f aca="false">IF(D90&lt;Carrot_Bed_Cap,Carrot_Price-(MAX(0,MIN(F90+INDEX(J5:J24,D90+1),Own_Labor_Hours)-MIN(F90,Own_Labor_Hours))*Farmer_Implied_Wage+(INDEX(J5:J24,D90+1)-MAX(0,MIN(F90+INDEX(J5:J24,D90+1),Own_Labor_Hours)-MIN(F90,Own_Labor_Hours)))*Temp_Wage_Per_Hour+Carrot_Fertilizer_Per_Bed),-1E+018)</f>
        <v>1120.14583333333</v>
      </c>
      <c r="I91" s="31" t="n">
        <f aca="false">IF(E90&lt;Mesclun_Bed_Cap,Mesclun_Price-(MAX(0,MIN(F90+INDEX(Q5:Q34,E90+1),Own_Labor_Hours)-MIN(F90,Own_Labor_Hours))*Farmer_Implied_Wage+(INDEX(Q5:Q34,E90+1)-MAX(0,MIN(F90+INDEX(Q5:Q34,E90+1),Own_Labor_Hours)-MIN(F90,Own_Labor_Hours)))*Temp_Wage_Per_Hour+Mesclun_Fertilizer_Per_Bed),-1E+018)</f>
        <v>1028.984375</v>
      </c>
    </row>
    <row r="92" customFormat="false" ht="15" hidden="false" customHeight="false" outlineLevel="0" collapsed="false">
      <c r="A92" s="17" t="n">
        <v>11</v>
      </c>
      <c r="B92" s="5" t="str">
        <f aca="false">IF(NOT(AND(MAX(G92,H92,I92)&gt;0,C91+D91+E91&lt;Total_Beds)),"(stopped)",IF(G92=MAX(G92,H92,I92),"Tomato",IF(H92=MAX(G92,H92,I92),"Carrot","Mesclun")))</f>
        <v>Carrot</v>
      </c>
      <c r="C92" s="17" t="n">
        <f aca="false">C91+IF(B92="Tomato",1,0)</f>
        <v>9</v>
      </c>
      <c r="D92" s="17" t="n">
        <f aca="false">D91+IF(B92="Carrot",1,0)</f>
        <v>2</v>
      </c>
      <c r="E92" s="17" t="n">
        <f aca="false">E91+IF(B92="Mesclun",1,0)</f>
        <v>0</v>
      </c>
      <c r="F92" s="30" t="n">
        <f aca="false">F91+IF(B92="Tomato",INDEX(C5:C24,C91+1),IF(B92="Carrot",INDEX(J5:J24,D91+1),IF(B92="Mesclun",INDEX(Q5:Q34,E91+1),0)))</f>
        <v>1972.97512971</v>
      </c>
      <c r="G92" s="31" t="n">
        <f aca="false">IF(C91&lt;Tomato_Bed_Cap,Tomato_Price-(MAX(0,MIN(F91+INDEX(C5:C24,C91+1),Own_Labor_Hours)-MIN(F91,Own_Labor_Hours))*Farmer_Implied_Wage+(INDEX(C5:C24,C91+1)-MAX(0,MIN(F91+INDEX(C5:C24,C91+1),Own_Labor_Hours)-MIN(F91,Own_Labor_Hours)))*Temp_Wage_Per_Hour+Tomato_Fertilizer_Per_Bed),-1E+018)</f>
        <v>551.413465624995</v>
      </c>
      <c r="H92" s="31" t="n">
        <f aca="false">IF(D91&lt;Carrot_Bed_Cap,Carrot_Price-(MAX(0,MIN(F91+INDEX(J5:J24,D91+1),Own_Labor_Hours)-MIN(F91,Own_Labor_Hours))*Farmer_Implied_Wage+(INDEX(J5:J24,D91+1)-MAX(0,MIN(F91+INDEX(J5:J24,D91+1),Own_Labor_Hours)-MIN(F91,Own_Labor_Hours)))*Temp_Wage_Per_Hour+Carrot_Fertilizer_Per_Bed),-1E+018)</f>
        <v>1093.453125</v>
      </c>
      <c r="I92" s="31" t="n">
        <f aca="false">IF(E91&lt;Mesclun_Bed_Cap,Mesclun_Price-(MAX(0,MIN(F91+INDEX(Q5:Q34,E91+1),Own_Labor_Hours)-MIN(F91,Own_Labor_Hours))*Farmer_Implied_Wage+(INDEX(Q5:Q34,E91+1)-MAX(0,MIN(F91+INDEX(Q5:Q34,E91+1),Own_Labor_Hours)-MIN(F91,Own_Labor_Hours)))*Temp_Wage_Per_Hour+Mesclun_Fertilizer_Per_Bed),-1E+018)</f>
        <v>1028.984375</v>
      </c>
    </row>
    <row r="93" customFormat="false" ht="15" hidden="false" customHeight="false" outlineLevel="0" collapsed="false">
      <c r="A93" s="17" t="n">
        <v>12</v>
      </c>
      <c r="B93" s="5" t="str">
        <f aca="false">IF(NOT(AND(MAX(G93,H93,I93)&gt;0,C92+D92+E92&lt;Total_Beds)),"(stopped)",IF(G93=MAX(G93,H93,I93),"Tomato",IF(H93=MAX(G93,H93,I93),"Carrot","Mesclun")))</f>
        <v>Carrot</v>
      </c>
      <c r="C93" s="17" t="n">
        <f aca="false">C92+IF(B93="Tomato",1,0)</f>
        <v>9</v>
      </c>
      <c r="D93" s="17" t="n">
        <f aca="false">D92+IF(B93="Carrot",1,0)</f>
        <v>3</v>
      </c>
      <c r="E93" s="17" t="n">
        <f aca="false">E92+IF(B93="Mesclun",1,0)</f>
        <v>0</v>
      </c>
      <c r="F93" s="30" t="n">
        <f aca="false">F92+IF(B93="Tomato",INDEX(C5:C24,C92+1),IF(B93="Carrot",INDEX(J5:J24,D92+1),IF(B93="Mesclun",INDEX(Q5:Q34,E92+1),0)))</f>
        <v>2006.85778596</v>
      </c>
      <c r="G93" s="31" t="n">
        <f aca="false">IF(C92&lt;Tomato_Bed_Cap,Tomato_Price-(MAX(0,MIN(F92+INDEX(C5:C24,C92+1),Own_Labor_Hours)-MIN(F92,Own_Labor_Hours))*Farmer_Implied_Wage+(INDEX(C5:C24,C92+1)-MAX(0,MIN(F92+INDEX(C5:C24,C92+1),Own_Labor_Hours)-MIN(F92,Own_Labor_Hours)))*Temp_Wage_Per_Hour+Tomato_Fertilizer_Per_Bed),-1E+018)</f>
        <v>551.413465624995</v>
      </c>
      <c r="H93" s="31" t="n">
        <f aca="false">IF(D92&lt;Carrot_Bed_Cap,Carrot_Price-(MAX(0,MIN(F92+INDEX(J5:J24,D92+1),Own_Labor_Hours)-MIN(F92,Own_Labor_Hours))*Farmer_Implied_Wage+(INDEX(J5:J24,D92+1)-MAX(0,MIN(F92+INDEX(J5:J24,D92+1),Own_Labor_Hours)-MIN(F92,Own_Labor_Hours)))*Temp_Wage_Per_Hour+Carrot_Fertilizer_Per_Bed),-1E+018)</f>
        <v>1065.75944010417</v>
      </c>
      <c r="I93" s="31" t="n">
        <f aca="false">IF(E92&lt;Mesclun_Bed_Cap,Mesclun_Price-(MAX(0,MIN(F92+INDEX(Q5:Q34,E92+1),Own_Labor_Hours)-MIN(F92,Own_Labor_Hours))*Farmer_Implied_Wage+(INDEX(Q5:Q34,E92+1)-MAX(0,MIN(F92+INDEX(Q5:Q34,E92+1),Own_Labor_Hours)-MIN(F92,Own_Labor_Hours)))*Temp_Wage_Per_Hour+Mesclun_Fertilizer_Per_Bed),-1E+018)</f>
        <v>1028.984375</v>
      </c>
    </row>
    <row r="94" customFormat="false" ht="15" hidden="false" customHeight="false" outlineLevel="0" collapsed="false">
      <c r="A94" s="17" t="n">
        <v>13</v>
      </c>
      <c r="B94" s="5" t="str">
        <f aca="false">IF(NOT(AND(MAX(G94,H94,I94)&gt;0,C93+D93+E93&lt;Total_Beds)),"(stopped)",IF(G94=MAX(G94,H94,I94),"Tomato",IF(H94=MAX(G94,H94,I94),"Carrot","Mesclun")))</f>
        <v>Carrot</v>
      </c>
      <c r="C94" s="17" t="n">
        <f aca="false">C93+IF(B94="Tomato",1,0)</f>
        <v>9</v>
      </c>
      <c r="D94" s="17" t="n">
        <f aca="false">D93+IF(B94="Carrot",1,0)</f>
        <v>4</v>
      </c>
      <c r="E94" s="17" t="n">
        <f aca="false">E93+IF(B94="Mesclun",1,0)</f>
        <v>0</v>
      </c>
      <c r="F94" s="30" t="n">
        <f aca="false">F93+IF(B94="Tomato",INDEX(C5:C24,C93+1),IF(B94="Carrot",INDEX(J5:J24,D93+1),IF(B94="Mesclun",INDEX(Q5:Q34,E93+1),0)))</f>
        <v>2042.395176585</v>
      </c>
      <c r="G94" s="31" t="n">
        <f aca="false">IF(C93&lt;Tomato_Bed_Cap,Tomato_Price-(MAX(0,MIN(F93+INDEX(C5:C24,C93+1),Own_Labor_Hours)-MIN(F93,Own_Labor_Hours))*Farmer_Implied_Wage+(INDEX(C5:C24,C93+1)-MAX(0,MIN(F93+INDEX(C5:C24,C93+1),Own_Labor_Hours)-MIN(F93,Own_Labor_Hours)))*Temp_Wage_Per_Hour+Tomato_Fertilizer_Per_Bed),-1E+018)</f>
        <v>551.413465624995</v>
      </c>
      <c r="H94" s="31" t="n">
        <f aca="false">IF(D93&lt;Carrot_Bed_Cap,Carrot_Price-(MAX(0,MIN(F93+INDEX(J5:J24,D93+1),Own_Labor_Hours)-MIN(F93,Own_Labor_Hours))*Farmer_Implied_Wage+(INDEX(J5:J24,D93+1)-MAX(0,MIN(F93+INDEX(J5:J24,D93+1),Own_Labor_Hours)-MIN(F93,Own_Labor_Hours)))*Temp_Wage_Per_Hour+Carrot_Fertilizer_Per_Bed),-1E+018)</f>
        <v>1037.03141276042</v>
      </c>
      <c r="I94" s="31" t="n">
        <f aca="false">IF(E93&lt;Mesclun_Bed_Cap,Mesclun_Price-(MAX(0,MIN(F93+INDEX(Q5:Q34,E93+1),Own_Labor_Hours)-MIN(F93,Own_Labor_Hours))*Farmer_Implied_Wage+(INDEX(Q5:Q34,E93+1)-MAX(0,MIN(F93+INDEX(Q5:Q34,E93+1),Own_Labor_Hours)-MIN(F93,Own_Labor_Hours)))*Temp_Wage_Per_Hour+Mesclun_Fertilizer_Per_Bed),-1E+018)</f>
        <v>1028.984375</v>
      </c>
    </row>
    <row r="95" customFormat="false" ht="15" hidden="false" customHeight="false" outlineLevel="0" collapsed="false">
      <c r="A95" s="17" t="n">
        <v>14</v>
      </c>
      <c r="B95" s="5" t="str">
        <f aca="false">IF(NOT(AND(MAX(G95,H95,I95)&gt;0,C94+D94+E94&lt;Total_Beds)),"(stopped)",IF(G95=MAX(G95,H95,I95),"Tomato",IF(H95=MAX(G95,H95,I95),"Carrot","Mesclun")))</f>
        <v>Mesclun</v>
      </c>
      <c r="C95" s="17" t="n">
        <f aca="false">C94+IF(B95="Tomato",1,0)</f>
        <v>9</v>
      </c>
      <c r="D95" s="17" t="n">
        <f aca="false">D94+IF(B95="Carrot",1,0)</f>
        <v>4</v>
      </c>
      <c r="E95" s="17" t="n">
        <f aca="false">E94+IF(B95="Mesclun",1,0)</f>
        <v>1</v>
      </c>
      <c r="F95" s="30" t="n">
        <f aca="false">F94+IF(B95="Tomato",INDEX(C5:C24,C94+1),IF(B95="Carrot",INDEX(J5:J24,D94+1),IF(B95="Mesclun",INDEX(Q5:Q34,E94+1),0)))</f>
        <v>2087.957676585</v>
      </c>
      <c r="G95" s="31" t="n">
        <f aca="false">IF(C94&lt;Tomato_Bed_Cap,Tomato_Price-(MAX(0,MIN(F94+INDEX(C5:C24,C94+1),Own_Labor_Hours)-MIN(F94,Own_Labor_Hours))*Farmer_Implied_Wage+(INDEX(C5:C24,C94+1)-MAX(0,MIN(F94+INDEX(C5:C24,C94+1),Own_Labor_Hours)-MIN(F94,Own_Labor_Hours)))*Temp_Wage_Per_Hour+Tomato_Fertilizer_Per_Bed),-1E+018)</f>
        <v>551.413465624995</v>
      </c>
      <c r="H95" s="31" t="n">
        <f aca="false">IF(D94&lt;Carrot_Bed_Cap,Carrot_Price-(MAX(0,MIN(F94+INDEX(J5:J24,D94+1),Own_Labor_Hours)-MIN(F94,Own_Labor_Hours))*Farmer_Implied_Wage+(INDEX(J5:J24,D94+1)-MAX(0,MIN(F94+INDEX(J5:J24,D94+1),Own_Labor_Hours)-MIN(F94,Own_Labor_Hours)))*Temp_Wage_Per_Hour+Carrot_Fertilizer_Per_Bed),-1E+018)</f>
        <v>1007.23463439941</v>
      </c>
      <c r="I95" s="31" t="n">
        <f aca="false">IF(E94&lt;Mesclun_Bed_Cap,Mesclun_Price-(MAX(0,MIN(F94+INDEX(Q5:Q34,E94+1),Own_Labor_Hours)-MIN(F94,Own_Labor_Hours))*Farmer_Implied_Wage+(INDEX(Q5:Q34,E94+1)-MAX(0,MIN(F94+INDEX(Q5:Q34,E94+1),Own_Labor_Hours)-MIN(F94,Own_Labor_Hours)))*Temp_Wage_Per_Hour+Mesclun_Fertilizer_Per_Bed),-1E+018)</f>
        <v>1028.984375</v>
      </c>
    </row>
    <row r="96" customFormat="false" ht="15" hidden="false" customHeight="false" outlineLevel="0" collapsed="false">
      <c r="A96" s="17" t="n">
        <v>15</v>
      </c>
      <c r="B96" s="5" t="str">
        <f aca="false">IF(NOT(AND(MAX(G96,H96,I96)&gt;0,C95+D95+E95&lt;Total_Beds)),"(stopped)",IF(G96=MAX(G96,H96,I96),"Tomato",IF(H96=MAX(G96,H96,I96),"Carrot","Mesclun")))</f>
        <v>Mesclun</v>
      </c>
      <c r="C96" s="17" t="n">
        <f aca="false">C95+IF(B96="Tomato",1,0)</f>
        <v>9</v>
      </c>
      <c r="D96" s="17" t="n">
        <f aca="false">D95+IF(B96="Carrot",1,0)</f>
        <v>4</v>
      </c>
      <c r="E96" s="17" t="n">
        <f aca="false">E95+IF(B96="Mesclun",1,0)</f>
        <v>2</v>
      </c>
      <c r="F96" s="30" t="n">
        <f aca="false">F95+IF(B96="Tomato",INDEX(C5:C24,C95+1),IF(B96="Carrot",INDEX(J5:J24,D95+1),IF(B96="Mesclun",INDEX(Q5:Q34,E95+1),0)))</f>
        <v>2134.659239085</v>
      </c>
      <c r="G96" s="31" t="n">
        <f aca="false">IF(C95&lt;Tomato_Bed_Cap,Tomato_Price-(MAX(0,MIN(F95+INDEX(C5:C24,C95+1),Own_Labor_Hours)-MIN(F95,Own_Labor_Hours))*Farmer_Implied_Wage+(INDEX(C5:C24,C95+1)-MAX(0,MIN(F95+INDEX(C5:C24,C95+1),Own_Labor_Hours)-MIN(F95,Own_Labor_Hours)))*Temp_Wage_Per_Hour+Tomato_Fertilizer_Per_Bed),-1E+018)</f>
        <v>551.413465624995</v>
      </c>
      <c r="H96" s="31" t="n">
        <f aca="false">IF(D95&lt;Carrot_Bed_Cap,Carrot_Price-(MAX(0,MIN(F95+INDEX(J5:J24,D95+1),Own_Labor_Hours)-MIN(F95,Own_Labor_Hours))*Farmer_Implied_Wage+(INDEX(J5:J24,D95+1)-MAX(0,MIN(F95+INDEX(J5:J24,D95+1),Own_Labor_Hours)-MIN(F95,Own_Labor_Hours)))*Temp_Wage_Per_Hour+Carrot_Fertilizer_Per_Bed),-1E+018)</f>
        <v>1007.23463439941</v>
      </c>
      <c r="I96" s="31" t="n">
        <f aca="false">IF(E95&lt;Mesclun_Bed_Cap,Mesclun_Price-(MAX(0,MIN(F95+INDEX(Q5:Q34,E95+1),Own_Labor_Hours)-MIN(F95,Own_Labor_Hours))*Farmer_Implied_Wage+(INDEX(Q5:Q34,E95+1)-MAX(0,MIN(F95+INDEX(Q5:Q34,E95+1),Own_Labor_Hours)-MIN(F95,Own_Labor_Hours)))*Temp_Wage_Per_Hour+Mesclun_Fertilizer_Per_Bed),-1E+018)</f>
        <v>1009.208984375</v>
      </c>
    </row>
    <row r="97" customFormat="false" ht="15" hidden="false" customHeight="false" outlineLevel="0" collapsed="false">
      <c r="A97" s="17" t="n">
        <v>16</v>
      </c>
      <c r="B97" s="5" t="str">
        <f aca="false">IF(NOT(AND(MAX(G97,H97,I97)&gt;0,C96+D96+E96&lt;Total_Beds)),"(stopped)",IF(G97=MAX(G97,H97,I97),"Tomato",IF(H97=MAX(G97,H97,I97),"Carrot","Mesclun")))</f>
        <v>Carrot</v>
      </c>
      <c r="C97" s="17" t="n">
        <f aca="false">C96+IF(B97="Tomato",1,0)</f>
        <v>9</v>
      </c>
      <c r="D97" s="17" t="n">
        <f aca="false">D96+IF(B97="Carrot",1,0)</f>
        <v>5</v>
      </c>
      <c r="E97" s="17" t="n">
        <f aca="false">E96+IF(B97="Mesclun",1,0)</f>
        <v>2</v>
      </c>
      <c r="F97" s="30" t="n">
        <f aca="false">F96+IF(B97="Tomato",INDEX(C5:C24,C96+1),IF(B97="Carrot",INDEX(J5:J24,D96+1),IF(B97="Mesclun",INDEX(Q5:Q34,E96+1),0)))</f>
        <v>2171.9129241436</v>
      </c>
      <c r="G97" s="31" t="n">
        <f aca="false">IF(C96&lt;Tomato_Bed_Cap,Tomato_Price-(MAX(0,MIN(F96+INDEX(C5:C24,C96+1),Own_Labor_Hours)-MIN(F96,Own_Labor_Hours))*Farmer_Implied_Wage+(INDEX(C5:C24,C96+1)-MAX(0,MIN(F96+INDEX(C5:C24,C96+1),Own_Labor_Hours)-MIN(F96,Own_Labor_Hours)))*Temp_Wage_Per_Hour+Tomato_Fertilizer_Per_Bed),-1E+018)</f>
        <v>551.413465624995</v>
      </c>
      <c r="H97" s="31" t="n">
        <f aca="false">IF(D96&lt;Carrot_Bed_Cap,Carrot_Price-(MAX(0,MIN(F96+INDEX(J5:J24,D96+1),Own_Labor_Hours)-MIN(F96,Own_Labor_Hours))*Farmer_Implied_Wage+(INDEX(J5:J24,D96+1)-MAX(0,MIN(F96+INDEX(J5:J24,D96+1),Own_Labor_Hours)-MIN(F96,Own_Labor_Hours)))*Temp_Wage_Per_Hour+Carrot_Fertilizer_Per_Bed),-1E+018)</f>
        <v>1007.23463439941</v>
      </c>
      <c r="I97" s="31" t="n">
        <f aca="false">IF(E96&lt;Mesclun_Bed_Cap,Mesclun_Price-(MAX(0,MIN(F96+INDEX(Q5:Q34,E96+1),Own_Labor_Hours)-MIN(F96,Own_Labor_Hours))*Farmer_Implied_Wage+(INDEX(Q5:Q34,E96+1)-MAX(0,MIN(F96+INDEX(Q5:Q34,E96+1),Own_Labor_Hours)-MIN(F96,Own_Labor_Hours)))*Temp_Wage_Per_Hour+Mesclun_Fertilizer_Per_Bed),-1E+018)</f>
        <v>989.062805175782</v>
      </c>
    </row>
    <row r="98" customFormat="false" ht="15" hidden="false" customHeight="false" outlineLevel="0" collapsed="false">
      <c r="A98" s="17" t="n">
        <v>17</v>
      </c>
      <c r="B98" s="5" t="str">
        <f aca="false">IF(NOT(AND(MAX(G98,H98,I98)&gt;0,C97+D97+E97&lt;Total_Beds)),"(stopped)",IF(G98=MAX(G98,H98,I98),"Tomato",IF(H98=MAX(G98,H98,I98),"Carrot","Mesclun")))</f>
        <v>Mesclun</v>
      </c>
      <c r="C98" s="17" t="n">
        <f aca="false">C97+IF(B98="Tomato",1,0)</f>
        <v>9</v>
      </c>
      <c r="D98" s="17" t="n">
        <f aca="false">D97+IF(B98="Carrot",1,0)</f>
        <v>5</v>
      </c>
      <c r="E98" s="17" t="n">
        <f aca="false">E97+IF(B98="Mesclun",1,0)</f>
        <v>3</v>
      </c>
      <c r="F98" s="30" t="n">
        <f aca="false">F97+IF(B98="Tomato",INDEX(C5:C24,C97+1),IF(B98="Carrot",INDEX(J5:J24,D97+1),IF(B98="Mesclun",INDEX(Q5:Q34,E97+1),0)))</f>
        <v>2219.77490656547</v>
      </c>
      <c r="G98" s="31" t="n">
        <f aca="false">IF(C97&lt;Tomato_Bed_Cap,Tomato_Price-(MAX(0,MIN(F97+INDEX(C5:C24,C97+1),Own_Labor_Hours)-MIN(F97,Own_Labor_Hours))*Farmer_Implied_Wage+(INDEX(C5:C24,C97+1)-MAX(0,MIN(F97+INDEX(C5:C24,C97+1),Own_Labor_Hours)-MIN(F97,Own_Labor_Hours)))*Temp_Wage_Per_Hour+Tomato_Fertilizer_Per_Bed),-1E+018)</f>
        <v>551.413465624995</v>
      </c>
      <c r="H98" s="31" t="n">
        <f aca="false">IF(D97&lt;Carrot_Bed_Cap,Carrot_Price-(MAX(0,MIN(F97+INDEX(J5:J24,D97+1),Own_Labor_Hours)-MIN(F97,Own_Labor_Hours))*Farmer_Implied_Wage+(INDEX(J5:J24,D97+1)-MAX(0,MIN(F97+INDEX(J5:J24,D97+1),Own_Labor_Hours)-MIN(F97,Own_Labor_Hours)))*Temp_Wage_Per_Hour+Carrot_Fertilizer_Per_Bed),-1E+018)</f>
        <v>976.333622487387</v>
      </c>
      <c r="I98" s="31" t="n">
        <f aca="false">IF(E97&lt;Mesclun_Bed_Cap,Mesclun_Price-(MAX(0,MIN(F97+INDEX(Q5:Q34,E97+1),Own_Labor_Hours)-MIN(F97,Own_Labor_Hours))*Farmer_Implied_Wage+(INDEX(Q5:Q34,E97+1)-MAX(0,MIN(F97+INDEX(Q5:Q34,E97+1),Own_Labor_Hours)-MIN(F97,Own_Labor_Hours)))*Temp_Wage_Per_Hour+Mesclun_Fertilizer_Per_Bed),-1E+018)</f>
        <v>989.062805175782</v>
      </c>
    </row>
    <row r="99" customFormat="false" ht="15" hidden="false" customHeight="false" outlineLevel="0" collapsed="false">
      <c r="A99" s="17" t="n">
        <v>18</v>
      </c>
      <c r="B99" s="5" t="str">
        <f aca="false">IF(NOT(AND(MAX(G99,H99,I99)&gt;0,C98+D98+E98&lt;Total_Beds)),"(stopped)",IF(G99=MAX(G99,H99,I99),"Tomato",IF(H99=MAX(G99,H99,I99),"Carrot","Mesclun")))</f>
        <v>Carrot</v>
      </c>
      <c r="C99" s="17" t="n">
        <f aca="false">C98+IF(B99="Tomato",1,0)</f>
        <v>9</v>
      </c>
      <c r="D99" s="17" t="n">
        <f aca="false">D98+IF(B99="Carrot",1,0)</f>
        <v>6</v>
      </c>
      <c r="E99" s="17" t="n">
        <f aca="false">E98+IF(B99="Mesclun",1,0)</f>
        <v>3</v>
      </c>
      <c r="F99" s="30" t="n">
        <f aca="false">F98+IF(B99="Tomato",INDEX(C5:C24,C98+1),IF(B99="Carrot",INDEX(J5:J24,D98+1),IF(B99="Mesclun",INDEX(Q5:Q34,E98+1),0)))</f>
        <v>2258.8084899102</v>
      </c>
      <c r="G99" s="31" t="n">
        <f aca="false">IF(C98&lt;Tomato_Bed_Cap,Tomato_Price-(MAX(0,MIN(F98+INDEX(C5:C24,C98+1),Own_Labor_Hours)-MIN(F98,Own_Labor_Hours))*Farmer_Implied_Wage+(INDEX(C5:C24,C98+1)-MAX(0,MIN(F98+INDEX(C5:C24,C98+1),Own_Labor_Hours)-MIN(F98,Own_Labor_Hours)))*Temp_Wage_Per_Hour+Tomato_Fertilizer_Per_Bed),-1E+018)</f>
        <v>551.413465624995</v>
      </c>
      <c r="H99" s="31" t="n">
        <f aca="false">IF(D98&lt;Carrot_Bed_Cap,Carrot_Price-(MAX(0,MIN(F98+INDEX(J5:J24,D98+1),Own_Labor_Hours)-MIN(F98,Own_Labor_Hours))*Farmer_Implied_Wage+(INDEX(J5:J24,D98+1)-MAX(0,MIN(F98+INDEX(J5:J24,D98+1),Own_Labor_Hours)-MIN(F98,Own_Labor_Hours)))*Temp_Wage_Per_Hour+Carrot_Fertilizer_Per_Bed),-1E+018)</f>
        <v>976.333622487387</v>
      </c>
      <c r="I99" s="31" t="n">
        <f aca="false">IF(E98&lt;Mesclun_Bed_Cap,Mesclun_Price-(MAX(0,MIN(F98+INDEX(Q5:Q34,E98+1),Own_Labor_Hours)-MIN(F98,Own_Labor_Hours))*Farmer_Implied_Wage+(INDEX(Q5:Q34,E98+1)-MAX(0,MIN(F98+INDEX(Q5:Q34,E98+1),Own_Labor_Hours)-MIN(F98,Own_Labor_Hours)))*Temp_Wage_Per_Hour+Mesclun_Fertilizer_Per_Bed),-1E+018)</f>
        <v>968.539657592774</v>
      </c>
    </row>
    <row r="100" customFormat="false" ht="15" hidden="false" customHeight="false" outlineLevel="0" collapsed="false">
      <c r="A100" s="17" t="n">
        <v>19</v>
      </c>
      <c r="B100" s="5" t="str">
        <f aca="false">IF(NOT(AND(MAX(G100,H100,I100)&gt;0,C99+D99+E99&lt;Total_Beds)),"(stopped)",IF(G100=MAX(G100,H100,I100),"Tomato",IF(H100=MAX(G100,H100,I100),"Carrot","Mesclun")))</f>
        <v>Mesclun</v>
      </c>
      <c r="C100" s="17" t="n">
        <f aca="false">C99+IF(B100="Tomato",1,0)</f>
        <v>9</v>
      </c>
      <c r="D100" s="17" t="n">
        <f aca="false">D99+IF(B100="Carrot",1,0)</f>
        <v>6</v>
      </c>
      <c r="E100" s="17" t="n">
        <f aca="false">E99+IF(B100="Mesclun",1,0)</f>
        <v>4</v>
      </c>
      <c r="F100" s="30" t="n">
        <f aca="false">F99+IF(B100="Tomato",INDEX(C5:C24,C99+1),IF(B100="Carrot",INDEX(J5:J24,D99+1),IF(B100="Mesclun",INDEX(Q5:Q34,E99+1),0)))</f>
        <v>2307.85260563285</v>
      </c>
      <c r="G100" s="31" t="n">
        <f aca="false">IF(C99&lt;Tomato_Bed_Cap,Tomato_Price-(MAX(0,MIN(F99+INDEX(C5:C24,C99+1),Own_Labor_Hours)-MIN(F99,Own_Labor_Hours))*Farmer_Implied_Wage+(INDEX(C5:C24,C99+1)-MAX(0,MIN(F99+INDEX(C5:C24,C99+1),Own_Labor_Hours)-MIN(F99,Own_Labor_Hours)))*Temp_Wage_Per_Hour+Tomato_Fertilizer_Per_Bed),-1E+018)</f>
        <v>551.413465624995</v>
      </c>
      <c r="H100" s="31" t="n">
        <f aca="false">IF(D99&lt;Carrot_Bed_Cap,Carrot_Price-(MAX(0,MIN(F99+INDEX(J5:J24,D99+1),Own_Labor_Hours)-MIN(F99,Own_Labor_Hours))*Farmer_Implied_Wage+(INDEX(J5:J24,D99+1)-MAX(0,MIN(F99+INDEX(J5:J24,D99+1),Own_Labor_Hours)-MIN(F99,Own_Labor_Hours)))*Temp_Wage_Per_Hour+Carrot_Fertilizer_Per_Bed),-1E+018)</f>
        <v>944.291788333257</v>
      </c>
      <c r="I100" s="31" t="n">
        <f aca="false">IF(E99&lt;Mesclun_Bed_Cap,Mesclun_Price-(MAX(0,MIN(F99+INDEX(Q5:Q34,E99+1),Own_Labor_Hours)-MIN(F99,Own_Labor_Hours))*Farmer_Implied_Wage+(INDEX(Q5:Q34,E99+1)-MAX(0,MIN(F99+INDEX(Q5:Q34,E99+1),Own_Labor_Hours)-MIN(F99,Own_Labor_Hours)))*Temp_Wage_Per_Hour+Mesclun_Fertilizer_Per_Bed),-1E+018)</f>
        <v>968.539657592774</v>
      </c>
    </row>
    <row r="101" customFormat="false" ht="15" hidden="false" customHeight="false" outlineLevel="0" collapsed="false">
      <c r="A101" s="17" t="n">
        <v>20</v>
      </c>
      <c r="B101" s="5" t="str">
        <f aca="false">IF(NOT(AND(MAX(G101,H101,I101)&gt;0,C100+D100+E100&lt;Total_Beds)),"(stopped)",IF(G101=MAX(G101,H101,I101),"Tomato",IF(H101=MAX(G101,H101,I101),"Carrot","Mesclun")))</f>
        <v>Mesclun</v>
      </c>
      <c r="C101" s="17" t="n">
        <f aca="false">C100+IF(B101="Tomato",1,0)</f>
        <v>9</v>
      </c>
      <c r="D101" s="17" t="n">
        <f aca="false">D100+IF(B101="Carrot",1,0)</f>
        <v>6</v>
      </c>
      <c r="E101" s="17" t="n">
        <f aca="false">E100+IF(B101="Mesclun",1,0)</f>
        <v>5</v>
      </c>
      <c r="F101" s="30" t="n">
        <f aca="false">F100+IF(B101="Tomato",INDEX(C5:C24,C100+1),IF(B101="Carrot",INDEX(J5:J24,D100+1),IF(B101="Mesclun",INDEX(Q5:Q34,E100+1),0)))</f>
        <v>2358.10092955406</v>
      </c>
      <c r="G101" s="31" t="n">
        <f aca="false">IF(C100&lt;Tomato_Bed_Cap,Tomato_Price-(MAX(0,MIN(F100+INDEX(C5:C24,C100+1),Own_Labor_Hours)-MIN(F100,Own_Labor_Hours))*Farmer_Implied_Wage+(INDEX(C5:C24,C100+1)-MAX(0,MIN(F100+INDEX(C5:C24,C100+1),Own_Labor_Hours)-MIN(F100,Own_Labor_Hours)))*Temp_Wage_Per_Hour+Tomato_Fertilizer_Per_Bed),-1E+018)</f>
        <v>551.413465624995</v>
      </c>
      <c r="H101" s="31" t="n">
        <f aca="false">IF(D100&lt;Carrot_Bed_Cap,Carrot_Price-(MAX(0,MIN(F100+INDEX(J5:J24,D100+1),Own_Labor_Hours)-MIN(F100,Own_Labor_Hours))*Farmer_Implied_Wage+(INDEX(J5:J24,D100+1)-MAX(0,MIN(F100+INDEX(J5:J24,D100+1),Own_Labor_Hours)-MIN(F100,Own_Labor_Hours)))*Temp_Wage_Per_Hour+Carrot_Fertilizer_Per_Bed),-1E+018)</f>
        <v>944.291788333257</v>
      </c>
      <c r="I101" s="31" t="n">
        <f aca="false">IF(E100&lt;Mesclun_Bed_Cap,Mesclun_Price-(MAX(0,MIN(F100+INDEX(Q5:Q34,E100+1),Own_Labor_Hours)-MIN(F100,Own_Labor_Hours))*Farmer_Implied_Wage+(INDEX(Q5:Q34,E100+1)-MAX(0,MIN(F100+INDEX(Q5:Q34,E100+1),Own_Labor_Hours)-MIN(F100,Own_Labor_Hours)))*Temp_Wage_Per_Hour+Mesclun_Fertilizer_Per_Bed),-1E+018)</f>
        <v>947.633265256882</v>
      </c>
    </row>
    <row r="102" customFormat="false" ht="15" hidden="false" customHeight="false" outlineLevel="0" collapsed="false">
      <c r="A102" s="17" t="n">
        <v>21</v>
      </c>
      <c r="B102" s="5" t="str">
        <f aca="false">IF(NOT(AND(MAX(G102,H102,I102)&gt;0,C101+D101+E101&lt;Total_Beds)),"(stopped)",IF(G102=MAX(G102,H102,I102),"Tomato",IF(H102=MAX(G102,H102,I102),"Carrot","Mesclun")))</f>
        <v>Carrot</v>
      </c>
      <c r="C102" s="17" t="n">
        <f aca="false">C101+IF(B102="Tomato",1,0)</f>
        <v>9</v>
      </c>
      <c r="D102" s="17" t="n">
        <f aca="false">D101+IF(B102="Carrot",1,0)</f>
        <v>7</v>
      </c>
      <c r="E102" s="17" t="n">
        <f aca="false">E101+IF(B102="Mesclun",1,0)</f>
        <v>5</v>
      </c>
      <c r="F102" s="30" t="n">
        <f aca="false">F101+IF(B102="Tomato",INDEX(C5:C24,C101+1),IF(B102="Carrot",INDEX(J5:J24,D101+1),IF(B102="Mesclun",INDEX(Q5:Q34,E101+1),0)))</f>
        <v>2398.98012254606</v>
      </c>
      <c r="G102" s="31" t="n">
        <f aca="false">IF(C101&lt;Tomato_Bed_Cap,Tomato_Price-(MAX(0,MIN(F101+INDEX(C5:C24,C101+1),Own_Labor_Hours)-MIN(F101,Own_Labor_Hours))*Farmer_Implied_Wage+(INDEX(C5:C24,C101+1)-MAX(0,MIN(F101+INDEX(C5:C24,C101+1),Own_Labor_Hours)-MIN(F101,Own_Labor_Hours)))*Temp_Wage_Per_Hour+Tomato_Fertilizer_Per_Bed),-1E+018)</f>
        <v>551.413465624995</v>
      </c>
      <c r="H102" s="31" t="n">
        <f aca="false">IF(D101&lt;Carrot_Bed_Cap,Carrot_Price-(MAX(0,MIN(F101+INDEX(J5:J24,D101+1),Own_Labor_Hours)-MIN(F101,Own_Labor_Hours))*Farmer_Implied_Wage+(INDEX(J5:J24,D101+1)-MAX(0,MIN(F101+INDEX(J5:J24,D101+1),Own_Labor_Hours)-MIN(F101,Own_Labor_Hours)))*Temp_Wage_Per_Hour+Carrot_Fertilizer_Per_Bed),-1E+018)</f>
        <v>944.291788333257</v>
      </c>
      <c r="I102" s="31" t="n">
        <f aca="false">IF(E101&lt;Mesclun_Bed_Cap,Mesclun_Price-(MAX(0,MIN(F101+INDEX(Q5:Q34,E101+1),Own_Labor_Hours)-MIN(F101,Own_Labor_Hours))*Farmer_Implied_Wage+(INDEX(Q5:Q34,E101+1)-MAX(0,MIN(F101+INDEX(Q5:Q34,E101+1),Own_Labor_Hours)-MIN(F101,Own_Labor_Hours)))*Temp_Wage_Per_Hour+Mesclun_Fertilizer_Per_Bed),-1E+018)</f>
        <v>926.337253791095</v>
      </c>
    </row>
    <row r="103" customFormat="false" ht="15" hidden="false" customHeight="false" outlineLevel="0" collapsed="false">
      <c r="A103" s="17" t="n">
        <v>22</v>
      </c>
      <c r="B103" s="5" t="str">
        <f aca="false">IF(NOT(AND(MAX(G103,H103,I103)&gt;0,C102+D102+E102&lt;Total_Beds)),"(stopped)",IF(G103=MAX(G103,H103,I103),"Tomato",IF(H103=MAX(G103,H103,I103),"Carrot","Mesclun")))</f>
        <v>Mesclun</v>
      </c>
      <c r="C103" s="17" t="n">
        <f aca="false">C102+IF(B103="Tomato",1,0)</f>
        <v>9</v>
      </c>
      <c r="D103" s="17" t="n">
        <f aca="false">D102+IF(B103="Carrot",1,0)</f>
        <v>7</v>
      </c>
      <c r="E103" s="17" t="n">
        <f aca="false">E102+IF(B103="Mesclun",1,0)</f>
        <v>6</v>
      </c>
      <c r="F103" s="30" t="n">
        <f aca="false">F102+IF(B103="Tomato",INDEX(C5:C24,C102+1),IF(B103="Carrot",INDEX(J5:J24,D102+1),IF(B103="Mesclun",INDEX(Q5:Q34,E102+1),0)))</f>
        <v>2450.45509672769</v>
      </c>
      <c r="G103" s="31" t="n">
        <f aca="false">IF(C102&lt;Tomato_Bed_Cap,Tomato_Price-(MAX(0,MIN(F102+INDEX(C5:C24,C102+1),Own_Labor_Hours)-MIN(F102,Own_Labor_Hours))*Farmer_Implied_Wage+(INDEX(C5:C24,C102+1)-MAX(0,MIN(F102+INDEX(C5:C24,C102+1),Own_Labor_Hours)-MIN(F102,Own_Labor_Hours)))*Temp_Wage_Per_Hour+Tomato_Fertilizer_Per_Bed),-1E+018)</f>
        <v>551.413465624995</v>
      </c>
      <c r="H103" s="31" t="n">
        <f aca="false">IF(D102&lt;Carrot_Bed_Cap,Carrot_Price-(MAX(0,MIN(F102+INDEX(J5:J24,D102+1),Own_Labor_Hours)-MIN(F102,Own_Labor_Hours))*Farmer_Implied_Wage+(INDEX(J5:J24,D102+1)-MAX(0,MIN(F102+INDEX(J5:J24,D102+1),Own_Labor_Hours)-MIN(F102,Own_Labor_Hours)))*Temp_Wage_Per_Hour+Carrot_Fertilizer_Per_Bed),-1E+018)</f>
        <v>911.07140395737</v>
      </c>
      <c r="I103" s="31" t="n">
        <f aca="false">IF(E102&lt;Mesclun_Bed_Cap,Mesclun_Price-(MAX(0,MIN(F102+INDEX(Q5:Q34,E102+1),Own_Labor_Hours)-MIN(F102,Own_Labor_Hours))*Farmer_Implied_Wage+(INDEX(Q5:Q34,E102+1)-MAX(0,MIN(F102+INDEX(Q5:Q34,E102+1),Own_Labor_Hours)-MIN(F102,Own_Labor_Hours)))*Temp_Wage_Per_Hour+Mesclun_Fertilizer_Per_Bed),-1E+018)</f>
        <v>926.337253791095</v>
      </c>
    </row>
    <row r="104" customFormat="false" ht="15" hidden="false" customHeight="false" outlineLevel="0" collapsed="false">
      <c r="A104" s="17" t="n">
        <v>23</v>
      </c>
      <c r="B104" s="5" t="str">
        <f aca="false">IF(NOT(AND(MAX(G104,H104,I104)&gt;0,C103+D103+E103&lt;Total_Beds)),"(stopped)",IF(G104=MAX(G104,H104,I104),"Tomato",IF(H104=MAX(G104,H104,I104),"Carrot","Mesclun")))</f>
        <v>Carrot</v>
      </c>
      <c r="C104" s="17" t="n">
        <f aca="false">C103+IF(B104="Tomato",1,0)</f>
        <v>9</v>
      </c>
      <c r="D104" s="17" t="n">
        <f aca="false">D103+IF(B104="Carrot",1,0)</f>
        <v>8</v>
      </c>
      <c r="E104" s="17" t="n">
        <f aca="false">E103+IF(B104="Mesclun",1,0)</f>
        <v>6</v>
      </c>
      <c r="F104" s="30" t="n">
        <f aca="false">F103+IF(B104="Tomato",INDEX(C5:C24,C103+1),IF(B104="Carrot",INDEX(J5:J24,D103+1),IF(B104="Mesclun",INDEX(Q5:Q34,E103+1),0)))</f>
        <v>2493.24778385975</v>
      </c>
      <c r="G104" s="31" t="n">
        <f aca="false">IF(C103&lt;Tomato_Bed_Cap,Tomato_Price-(MAX(0,MIN(F103+INDEX(C5:C24,C103+1),Own_Labor_Hours)-MIN(F103,Own_Labor_Hours))*Farmer_Implied_Wage+(INDEX(C5:C24,C103+1)-MAX(0,MIN(F103+INDEX(C5:C24,C103+1),Own_Labor_Hours)-MIN(F103,Own_Labor_Hours)))*Temp_Wage_Per_Hour+Tomato_Fertilizer_Per_Bed),-1E+018)</f>
        <v>551.413465624995</v>
      </c>
      <c r="H104" s="31" t="n">
        <f aca="false">IF(D103&lt;Carrot_Bed_Cap,Carrot_Price-(MAX(0,MIN(F103+INDEX(J5:J24,D103+1),Own_Labor_Hours)-MIN(F103,Own_Labor_Hours))*Farmer_Implied_Wage+(INDEX(J5:J24,D103+1)-MAX(0,MIN(F103+INDEX(J5:J24,D103+1),Own_Labor_Hours)-MIN(F103,Own_Labor_Hours)))*Temp_Wage_Per_Hour+Carrot_Fertilizer_Per_Bed),-1E+018)</f>
        <v>911.07140395737</v>
      </c>
      <c r="I104" s="31" t="n">
        <f aca="false">IF(E103&lt;Mesclun_Bed_Cap,Mesclun_Price-(MAX(0,MIN(F103+INDEX(Q5:Q34,E103+1),Own_Labor_Hours)-MIN(F103,Own_Labor_Hours))*Farmer_Implied_Wage+(INDEX(Q5:Q34,E103+1)-MAX(0,MIN(F103+INDEX(Q5:Q34,E103+1),Own_Labor_Hours)-MIN(F103,Own_Labor_Hours)))*Temp_Wage_Per_Hour+Mesclun_Fertilizer_Per_Bed),-1E+018)</f>
        <v>904.645149340965</v>
      </c>
    </row>
    <row r="105" customFormat="false" ht="15" hidden="false" customHeight="false" outlineLevel="0" collapsed="false">
      <c r="A105" s="17" t="n">
        <v>24</v>
      </c>
      <c r="B105" s="5" t="str">
        <f aca="false">IF(NOT(AND(MAX(G105,H105,I105)&gt;0,C104+D104+E104&lt;Total_Beds)),"(stopped)",IF(G105=MAX(G105,H105,I105),"Tomato",IF(H105=MAX(G105,H105,I105),"Carrot","Mesclun")))</f>
        <v>Mesclun</v>
      </c>
      <c r="C105" s="17" t="n">
        <f aca="false">C104+IF(B105="Tomato",1,0)</f>
        <v>9</v>
      </c>
      <c r="D105" s="17" t="n">
        <f aca="false">D104+IF(B105="Carrot",1,0)</f>
        <v>8</v>
      </c>
      <c r="E105" s="17" t="n">
        <f aca="false">E104+IF(B105="Mesclun",1,0)</f>
        <v>7</v>
      </c>
      <c r="F105" s="30" t="n">
        <f aca="false">F104+IF(B105="Tomato",INDEX(C5:C24,C104+1),IF(B105="Carrot",INDEX(J5:J24,D104+1),IF(B105="Mesclun",INDEX(Q5:Q34,E104+1),0)))</f>
        <v>2545.97222325771</v>
      </c>
      <c r="G105" s="31" t="n">
        <f aca="false">IF(C104&lt;Tomato_Bed_Cap,Tomato_Price-(MAX(0,MIN(F104+INDEX(C5:C24,C104+1),Own_Labor_Hours)-MIN(F104,Own_Labor_Hours))*Farmer_Implied_Wage+(INDEX(C5:C24,C104+1)-MAX(0,MIN(F104+INDEX(C5:C24,C104+1),Own_Labor_Hours)-MIN(F104,Own_Labor_Hours)))*Temp_Wage_Per_Hour+Tomato_Fertilizer_Per_Bed),-1E+018)</f>
        <v>551.413465624995</v>
      </c>
      <c r="H105" s="31" t="n">
        <f aca="false">IF(D104&lt;Carrot_Bed_Cap,Carrot_Price-(MAX(0,MIN(F104+INDEX(J5:J24,D104+1),Own_Labor_Hours)-MIN(F104,Own_Labor_Hours))*Farmer_Implied_Wage+(INDEX(J5:J24,D104+1)-MAX(0,MIN(F104+INDEX(J5:J24,D104+1),Own_Labor_Hours)-MIN(F104,Own_Labor_Hours)))*Temp_Wage_Per_Hour+Carrot_Fertilizer_Per_Bed),-1E+018)</f>
        <v>876.633567994975</v>
      </c>
      <c r="I105" s="31" t="n">
        <f aca="false">IF(E104&lt;Mesclun_Bed_Cap,Mesclun_Price-(MAX(0,MIN(F104+INDEX(Q5:Q34,E104+1),Own_Labor_Hours)-MIN(F104,Own_Labor_Hours))*Farmer_Implied_Wage+(INDEX(Q5:Q34,E104+1)-MAX(0,MIN(F104+INDEX(Q5:Q34,E104+1),Own_Labor_Hours)-MIN(F104,Own_Labor_Hours)))*Temp_Wage_Per_Hour+Mesclun_Fertilizer_Per_Bed),-1E+018)</f>
        <v>904.645149340965</v>
      </c>
    </row>
    <row r="106" customFormat="false" ht="15" hidden="false" customHeight="false" outlineLevel="0" collapsed="false">
      <c r="A106" s="17" t="n">
        <v>25</v>
      </c>
      <c r="B106" s="5" t="str">
        <f aca="false">IF(NOT(AND(MAX(G106,H106,I106)&gt;0,C105+D105+E105&lt;Total_Beds)),"(stopped)",IF(G106=MAX(G106,H106,I106),"Tomato",IF(H106=MAX(G106,H106,I106),"Carrot","Mesclun")))</f>
        <v>Mesclun</v>
      </c>
      <c r="C106" s="17" t="n">
        <f aca="false">C105+IF(B106="Tomato",1,0)</f>
        <v>9</v>
      </c>
      <c r="D106" s="17" t="n">
        <f aca="false">D105+IF(B106="Carrot",1,0)</f>
        <v>8</v>
      </c>
      <c r="E106" s="17" t="n">
        <f aca="false">E105+IF(B106="Mesclun",1,0)</f>
        <v>8</v>
      </c>
      <c r="F106" s="30" t="n">
        <f aca="false">F105+IF(B106="Tomato",INDEX(C5:C24,C105+1),IF(B106="Carrot",INDEX(J5:J24,D105+1),IF(B106="Mesclun",INDEX(Q5:Q34,E105+1),0)))</f>
        <v>2599.96932153769</v>
      </c>
      <c r="G106" s="31" t="n">
        <f aca="false">IF(C105&lt;Tomato_Bed_Cap,Tomato_Price-(MAX(0,MIN(F105+INDEX(C5:C24,C105+1),Own_Labor_Hours)-MIN(F105,Own_Labor_Hours))*Farmer_Implied_Wage+(INDEX(C5:C24,C105+1)-MAX(0,MIN(F105+INDEX(C5:C24,C105+1),Own_Labor_Hours)-MIN(F105,Own_Labor_Hours)))*Temp_Wage_Per_Hour+Tomato_Fertilizer_Per_Bed),-1E+018)</f>
        <v>551.413465624995</v>
      </c>
      <c r="H106" s="31" t="n">
        <f aca="false">IF(D105&lt;Carrot_Bed_Cap,Carrot_Price-(MAX(0,MIN(F105+INDEX(J5:J24,D105+1),Own_Labor_Hours)-MIN(F105,Own_Labor_Hours))*Farmer_Implied_Wage+(INDEX(J5:J24,D105+1)-MAX(0,MIN(F105+INDEX(J5:J24,D105+1),Own_Labor_Hours)-MIN(F105,Own_Labor_Hours)))*Temp_Wage_Per_Hour+Carrot_Fertilizer_Per_Bed),-1E+018)</f>
        <v>876.633567994975</v>
      </c>
      <c r="I106" s="31" t="n">
        <f aca="false">IF(E105&lt;Mesclun_Bed_Cap,Mesclun_Price-(MAX(0,MIN(F105+INDEX(Q5:Q34,E105+1),Own_Labor_Hours)-MIN(F105,Own_Labor_Hours))*Farmer_Implied_Wage+(INDEX(Q5:Q34,E105+1)-MAX(0,MIN(F105+INDEX(Q5:Q34,E105+1),Own_Labor_Hours)-MIN(F105,Own_Labor_Hours)))*Temp_Wage_Per_Hour+Mesclun_Fertilizer_Per_Bed),-1E+018)</f>
        <v>882.550377083678</v>
      </c>
    </row>
    <row r="107" customFormat="false" ht="15" hidden="false" customHeight="false" outlineLevel="0" collapsed="false">
      <c r="A107" s="17" t="n">
        <v>26</v>
      </c>
      <c r="B107" s="5" t="str">
        <f aca="false">IF(NOT(AND(MAX(G107,H107,I107)&gt;0,C106+D106+E106&lt;Total_Beds)),"(stopped)",IF(G107=MAX(G107,H107,I107),"Tomato",IF(H107=MAX(G107,H107,I107),"Carrot","Mesclun")))</f>
        <v>Carrot</v>
      </c>
      <c r="C107" s="17" t="n">
        <f aca="false">C106+IF(B107="Tomato",1,0)</f>
        <v>9</v>
      </c>
      <c r="D107" s="17" t="n">
        <f aca="false">D106+IF(B107="Carrot",1,0)</f>
        <v>9</v>
      </c>
      <c r="E107" s="17" t="n">
        <f aca="false">E106+IF(B107="Mesclun",1,0)</f>
        <v>8</v>
      </c>
      <c r="F107" s="30" t="n">
        <f aca="false">F106+IF(B107="Tomato",INDEX(C5:C24,C106+1),IF(B107="Carrot",INDEX(J5:J24,D106+1),IF(B107="Mesclun",INDEX(Q5:Q34,E106+1),0)))</f>
        <v>2644.74562802118</v>
      </c>
      <c r="G107" s="31" t="n">
        <f aca="false">IF(C106&lt;Tomato_Bed_Cap,Tomato_Price-(MAX(0,MIN(F106+INDEX(C5:C24,C106+1),Own_Labor_Hours)-MIN(F106,Own_Labor_Hours))*Farmer_Implied_Wage+(INDEX(C5:C24,C106+1)-MAX(0,MIN(F106+INDEX(C5:C24,C106+1),Own_Labor_Hours)-MIN(F106,Own_Labor_Hours)))*Temp_Wage_Per_Hour+Tomato_Fertilizer_Per_Bed),-1E+018)</f>
        <v>551.413465624995</v>
      </c>
      <c r="H107" s="31" t="n">
        <f aca="false">IF(D106&lt;Carrot_Bed_Cap,Carrot_Price-(MAX(0,MIN(F106+INDEX(J5:J24,D106+1),Own_Labor_Hours)-MIN(F106,Own_Labor_Hours))*Farmer_Implied_Wage+(INDEX(J5:J24,D106+1)-MAX(0,MIN(F106+INDEX(J5:J24,D106+1),Own_Labor_Hours)-MIN(F106,Own_Labor_Hours)))*Temp_Wage_Per_Hour+Carrot_Fertilizer_Per_Bed),-1E+018)</f>
        <v>876.633567994975</v>
      </c>
      <c r="I107" s="31" t="n">
        <f aca="false">IF(E106&lt;Mesclun_Bed_Cap,Mesclun_Price-(MAX(0,MIN(F106+INDEX(Q5:Q34,E106+1),Own_Labor_Hours)-MIN(F106,Own_Labor_Hours))*Farmer_Implied_Wage+(INDEX(Q5:Q34,E106+1)-MAX(0,MIN(F106+INDEX(Q5:Q34,E106+1),Own_Labor_Hours)-MIN(F106,Own_Labor_Hours)))*Temp_Wage_Per_Hour+Mesclun_Fertilizer_Per_Bed),-1E+018)</f>
        <v>860.046259715375</v>
      </c>
    </row>
    <row r="108" customFormat="false" ht="15" hidden="false" customHeight="false" outlineLevel="0" collapsed="false">
      <c r="A108" s="17" t="n">
        <v>27</v>
      </c>
      <c r="B108" s="5" t="str">
        <f aca="false">IF(NOT(AND(MAX(G108,H108,I108)&gt;0,C107+D107+E107&lt;Total_Beds)),"(stopped)",IF(G108=MAX(G108,H108,I108),"Tomato",IF(H108=MAX(G108,H108,I108),"Carrot","Mesclun")))</f>
        <v>Mesclun</v>
      </c>
      <c r="C108" s="17" t="n">
        <f aca="false">C107+IF(B108="Tomato",1,0)</f>
        <v>9</v>
      </c>
      <c r="D108" s="17" t="n">
        <f aca="false">D107+IF(B108="Carrot",1,0)</f>
        <v>9</v>
      </c>
      <c r="E108" s="17" t="n">
        <f aca="false">E107+IF(B108="Mesclun",1,0)</f>
        <v>9</v>
      </c>
      <c r="F108" s="30" t="n">
        <f aca="false">F107+IF(B108="Tomato",INDEX(C5:C24,C107+1),IF(B108="Carrot",INDEX(J5:J24,D107+1),IF(B108="Mesclun",INDEX(Q5:Q34,E107+1),0)))</f>
        <v>2700.03896346157</v>
      </c>
      <c r="G108" s="31" t="n">
        <f aca="false">IF(C107&lt;Tomato_Bed_Cap,Tomato_Price-(MAX(0,MIN(F107+INDEX(C5:C24,C107+1),Own_Labor_Hours)-MIN(F107,Own_Labor_Hours))*Farmer_Implied_Wage+(INDEX(C5:C24,C107+1)-MAX(0,MIN(F107+INDEX(C5:C24,C107+1),Own_Labor_Hours)-MIN(F107,Own_Labor_Hours)))*Temp_Wage_Per_Hour+Tomato_Fertilizer_Per_Bed),-1E+018)</f>
        <v>551.413465624995</v>
      </c>
      <c r="H108" s="31" t="n">
        <f aca="false">IF(D107&lt;Carrot_Bed_Cap,Carrot_Price-(MAX(0,MIN(F107+INDEX(J5:J24,D107+1),Own_Labor_Hours)-MIN(F107,Own_Labor_Hours))*Farmer_Implied_Wage+(INDEX(J5:J24,D107+1)-MAX(0,MIN(F107+INDEX(J5:J24,D107+1),Own_Labor_Hours)-MIN(F107,Own_Labor_Hours)))*Temp_Wage_Per_Hour+Carrot_Fertilizer_Per_Bed),-1E+018)</f>
        <v>840.938170606989</v>
      </c>
      <c r="I108" s="31" t="n">
        <f aca="false">IF(E107&lt;Mesclun_Bed_Cap,Mesclun_Price-(MAX(0,MIN(F107+INDEX(Q5:Q34,E107+1),Own_Labor_Hours)-MIN(F107,Own_Labor_Hours))*Farmer_Implied_Wage+(INDEX(Q5:Q34,E107+1)-MAX(0,MIN(F107+INDEX(Q5:Q34,E107+1),Own_Labor_Hours)-MIN(F107,Own_Labor_Hours)))*Temp_Wage_Per_Hour+Mesclun_Fertilizer_Per_Bed),-1E+018)</f>
        <v>860.046259715375</v>
      </c>
    </row>
    <row r="109" customFormat="false" ht="15" hidden="false" customHeight="false" outlineLevel="0" collapsed="false">
      <c r="A109" s="17" t="n">
        <v>28</v>
      </c>
      <c r="B109" s="5" t="str">
        <f aca="false">IF(NOT(AND(MAX(G109,H109,I109)&gt;0,C108+D108+E108&lt;Total_Beds)),"(stopped)",IF(G109=MAX(G109,H109,I109),"Tomato",IF(H109=MAX(G109,H109,I109),"Carrot","Mesclun")))</f>
        <v>Carrot</v>
      </c>
      <c r="C109" s="17" t="n">
        <f aca="false">C108+IF(B109="Tomato",1,0)</f>
        <v>9</v>
      </c>
      <c r="D109" s="17" t="n">
        <f aca="false">D108+IF(B109="Carrot",1,0)</f>
        <v>10</v>
      </c>
      <c r="E109" s="17" t="n">
        <f aca="false">E108+IF(B109="Mesclun",1,0)</f>
        <v>9</v>
      </c>
      <c r="F109" s="30" t="n">
        <f aca="false">F108+IF(B109="Tomato",INDEX(C5:C24,C108+1),IF(B109="Carrot",INDEX(J5:J24,D108+1),IF(B109="Mesclun",INDEX(Q5:Q34,E108+1),0)))</f>
        <v>2746.87132483461</v>
      </c>
      <c r="G109" s="31" t="n">
        <f aca="false">IF(C108&lt;Tomato_Bed_Cap,Tomato_Price-(MAX(0,MIN(F108+INDEX(C5:C24,C108+1),Own_Labor_Hours)-MIN(F108,Own_Labor_Hours))*Farmer_Implied_Wage+(INDEX(C5:C24,C108+1)-MAX(0,MIN(F108+INDEX(C5:C24,C108+1),Own_Labor_Hours)-MIN(F108,Own_Labor_Hours)))*Temp_Wage_Per_Hour+Tomato_Fertilizer_Per_Bed),-1E+018)</f>
        <v>551.413465624995</v>
      </c>
      <c r="H109" s="31" t="n">
        <f aca="false">IF(D108&lt;Carrot_Bed_Cap,Carrot_Price-(MAX(0,MIN(F108+INDEX(J5:J24,D108+1),Own_Labor_Hours)-MIN(F108,Own_Labor_Hours))*Farmer_Implied_Wage+(INDEX(J5:J24,D108+1)-MAX(0,MIN(F108+INDEX(J5:J24,D108+1),Own_Labor_Hours)-MIN(F108,Own_Labor_Hours)))*Temp_Wage_Per_Hour+Carrot_Fertilizer_Per_Bed),-1E+018)</f>
        <v>840.938170606989</v>
      </c>
      <c r="I109" s="31" t="n">
        <f aca="false">IF(E108&lt;Mesclun_Bed_Cap,Mesclun_Price-(MAX(0,MIN(F108+INDEX(Q5:Q34,E108+1),Own_Labor_Hours)-MIN(F108,Own_Labor_Hours))*Farmer_Implied_Wage+(INDEX(Q5:Q34,E108+1)-MAX(0,MIN(F108+INDEX(Q5:Q34,E108+1),Own_Labor_Hours)-MIN(F108,Own_Labor_Hours)))*Temp_Wage_Per_Hour+Mesclun_Fertilizer_Per_Bed),-1E+018)</f>
        <v>837.126015916445</v>
      </c>
    </row>
    <row r="110" customFormat="false" ht="15" hidden="false" customHeight="false" outlineLevel="0" collapsed="false">
      <c r="A110" s="17" t="n">
        <v>29</v>
      </c>
      <c r="B110" s="5" t="str">
        <f aca="false">IF(NOT(AND(MAX(G110,H110,I110)&gt;0,C109+D109+E109&lt;Total_Beds)),"(stopped)",IF(G110=MAX(G110,H110,I110),"Tomato",IF(H110=MAX(G110,H110,I110),"Carrot","Mesclun")))</f>
        <v>Mesclun</v>
      </c>
      <c r="C110" s="17" t="n">
        <f aca="false">C109+IF(B110="Tomato",1,0)</f>
        <v>9</v>
      </c>
      <c r="D110" s="17" t="n">
        <f aca="false">D109+IF(B110="Carrot",1,0)</f>
        <v>10</v>
      </c>
      <c r="E110" s="17" t="n">
        <f aca="false">E109+IF(B110="Mesclun",1,0)</f>
        <v>10</v>
      </c>
      <c r="F110" s="30" t="n">
        <f aca="false">F109+IF(B110="Tomato",INDEX(C5:C24,C109+1),IF(B110="Carrot",INDEX(J5:J24,D109+1),IF(B110="Mesclun",INDEX(Q5:Q34,E109+1),0)))</f>
        <v>2803.48486631782</v>
      </c>
      <c r="G110" s="31" t="n">
        <f aca="false">IF(C109&lt;Tomato_Bed_Cap,Tomato_Price-(MAX(0,MIN(F109+INDEX(C5:C24,C109+1),Own_Labor_Hours)-MIN(F109,Own_Labor_Hours))*Farmer_Implied_Wage+(INDEX(C5:C24,C109+1)-MAX(0,MIN(F109+INDEX(C5:C24,C109+1),Own_Labor_Hours)-MIN(F109,Own_Labor_Hours)))*Temp_Wage_Per_Hour+Tomato_Fertilizer_Per_Bed),-1E+018)</f>
        <v>551.413465624995</v>
      </c>
      <c r="H110" s="31" t="n">
        <f aca="false">IF(D109&lt;Carrot_Bed_Cap,Carrot_Price-(MAX(0,MIN(F109+INDEX(J5:J24,D109+1),Own_Labor_Hours)-MIN(F109,Own_Labor_Hours))*Farmer_Implied_Wage+(INDEX(J5:J24,D109+1)-MAX(0,MIN(F109+INDEX(J5:J24,D109+1),Own_Labor_Hours)-MIN(F109,Own_Labor_Hours)))*Temp_Wage_Per_Hour+Carrot_Fertilizer_Per_Bed),-1E+018)</f>
        <v>803.943857369606</v>
      </c>
      <c r="I110" s="31" t="n">
        <f aca="false">IF(E109&lt;Mesclun_Bed_Cap,Mesclun_Price-(MAX(0,MIN(F109+INDEX(Q5:Q34,E109+1),Own_Labor_Hours)-MIN(F109,Own_Labor_Hours))*Farmer_Implied_Wage+(INDEX(Q5:Q34,E109+1)-MAX(0,MIN(F109+INDEX(Q5:Q34,E109+1),Own_Labor_Hours)-MIN(F109,Own_Labor_Hours)))*Temp_Wage_Per_Hour+Mesclun_Fertilizer_Per_Bed),-1E+018)</f>
        <v>837.126015916445</v>
      </c>
    </row>
    <row r="111" customFormat="false" ht="15" hidden="false" customHeight="false" outlineLevel="0" collapsed="false">
      <c r="A111" s="17" t="n">
        <v>30</v>
      </c>
      <c r="B111" s="5" t="str">
        <f aca="false">IF(NOT(AND(MAX(G111,H111,I111)&gt;0,C110+D110+E110&lt;Total_Beds)),"(stopped)",IF(G111=MAX(G111,H111,I111),"Tomato",IF(H111=MAX(G111,H111,I111),"Carrot","Mesclun")))</f>
        <v>Mesclun</v>
      </c>
      <c r="C111" s="17" t="n">
        <f aca="false">C110+IF(B111="Tomato",1,0)</f>
        <v>9</v>
      </c>
      <c r="D111" s="17" t="n">
        <f aca="false">D110+IF(B111="Carrot",1,0)</f>
        <v>10</v>
      </c>
      <c r="E111" s="17" t="n">
        <f aca="false">E110+IF(B111="Mesclun",1,0)</f>
        <v>11</v>
      </c>
      <c r="F111" s="30" t="n">
        <f aca="false">F110+IF(B111="Tomato",INDEX(C5:C24,C110+1),IF(B111="Carrot",INDEX(J5:J24,D110+1),IF(B111="Mesclun",INDEX(Q5:Q34,E110+1),0)))</f>
        <v>2861.44297941126</v>
      </c>
      <c r="G111" s="31" t="n">
        <f aca="false">IF(C110&lt;Tomato_Bed_Cap,Tomato_Price-(MAX(0,MIN(F110+INDEX(C5:C24,C110+1),Own_Labor_Hours)-MIN(F110,Own_Labor_Hours))*Farmer_Implied_Wage+(INDEX(C5:C24,C110+1)-MAX(0,MIN(F110+INDEX(C5:C24,C110+1),Own_Labor_Hours)-MIN(F110,Own_Labor_Hours)))*Temp_Wage_Per_Hour+Tomato_Fertilizer_Per_Bed),-1E+018)</f>
        <v>551.413465624995</v>
      </c>
      <c r="H111" s="31" t="n">
        <f aca="false">IF(D110&lt;Carrot_Bed_Cap,Carrot_Price-(MAX(0,MIN(F110+INDEX(J5:J24,D110+1),Own_Labor_Hours)-MIN(F110,Own_Labor_Hours))*Farmer_Implied_Wage+(INDEX(J5:J24,D110+1)-MAX(0,MIN(F110+INDEX(J5:J24,D110+1),Own_Labor_Hours)-MIN(F110,Own_Labor_Hours)))*Temp_Wage_Per_Hour+Carrot_Fertilizer_Per_Bed),-1E+018)</f>
        <v>803.943857369606</v>
      </c>
      <c r="I111" s="31" t="n">
        <f aca="false">IF(E110&lt;Mesclun_Bed_Cap,Mesclun_Price-(MAX(0,MIN(F110+INDEX(Q5:Q34,E110+1),Own_Labor_Hours)-MIN(F110,Own_Labor_Hours))*Farmer_Implied_Wage+(INDEX(Q5:Q34,E110+1)-MAX(0,MIN(F110+INDEX(Q5:Q34,E110+1),Own_Labor_Hours)-MIN(F110,Own_Labor_Hours)))*Temp_Wage_Per_Hour+Mesclun_Fertilizer_Per_Bed),-1E+018)</f>
        <v>813.78275879446</v>
      </c>
    </row>
    <row r="112" customFormat="false" ht="15" hidden="false" customHeight="false" outlineLevel="0" collapsed="false">
      <c r="A112" s="17" t="n">
        <v>31</v>
      </c>
      <c r="B112" s="5" t="str">
        <f aca="false">IF(NOT(AND(MAX(G112,H112,I112)&gt;0,C111+D111+E111&lt;Total_Beds)),"(stopped)",IF(G112=MAX(G112,H112,I112),"Tomato",IF(H112=MAX(G112,H112,I112),"Carrot","Mesclun")))</f>
        <v>Carrot</v>
      </c>
      <c r="C112" s="17" t="n">
        <f aca="false">C111+IF(B112="Tomato",1,0)</f>
        <v>9</v>
      </c>
      <c r="D112" s="17" t="n">
        <f aca="false">D111+IF(B112="Carrot",1,0)</f>
        <v>11</v>
      </c>
      <c r="E112" s="17" t="n">
        <f aca="false">E111+IF(B112="Mesclun",1,0)</f>
        <v>11</v>
      </c>
      <c r="F112" s="30" t="n">
        <f aca="false">F111+IF(B112="Tomato",INDEX(C5:C24,C111+1),IF(B112="Carrot",INDEX(J5:J24,D111+1),IF(B112="Mesclun",INDEX(Q5:Q34,E111+1),0)))</f>
        <v>2910.40621322677</v>
      </c>
      <c r="G112" s="31" t="n">
        <f aca="false">IF(C111&lt;Tomato_Bed_Cap,Tomato_Price-(MAX(0,MIN(F111+INDEX(C5:C24,C111+1),Own_Labor_Hours)-MIN(F111,Own_Labor_Hours))*Farmer_Implied_Wage+(INDEX(C5:C24,C111+1)-MAX(0,MIN(F111+INDEX(C5:C24,C111+1),Own_Labor_Hours)-MIN(F111,Own_Labor_Hours)))*Temp_Wage_Per_Hour+Tomato_Fertilizer_Per_Bed),-1E+018)</f>
        <v>551.413465624995</v>
      </c>
      <c r="H112" s="31" t="n">
        <f aca="false">IF(D111&lt;Carrot_Bed_Cap,Carrot_Price-(MAX(0,MIN(F111+INDEX(J5:J24,D111+1),Own_Labor_Hours)-MIN(F111,Own_Labor_Hours))*Farmer_Implied_Wage+(INDEX(J5:J24,D111+1)-MAX(0,MIN(F111+INDEX(J5:J24,D111+1),Own_Labor_Hours)-MIN(F111,Own_Labor_Hours)))*Temp_Wage_Per_Hour+Carrot_Fertilizer_Per_Bed),-1E+018)</f>
        <v>803.943857369606</v>
      </c>
      <c r="I112" s="31" t="n">
        <f aca="false">IF(E111&lt;Mesclun_Bed_Cap,Mesclun_Price-(MAX(0,MIN(F111+INDEX(Q5:Q34,E111+1),Own_Labor_Hours)-MIN(F111,Own_Labor_Hours))*Farmer_Implied_Wage+(INDEX(Q5:Q34,E111+1)-MAX(0,MIN(F111+INDEX(Q5:Q34,E111+1),Own_Labor_Hours)-MIN(F111,Own_Labor_Hours)))*Temp_Wage_Per_Hour+Mesclun_Fertilizer_Per_Bed),-1E+018)</f>
        <v>790.009494304439</v>
      </c>
    </row>
    <row r="113" customFormat="false" ht="15" hidden="false" customHeight="false" outlineLevel="0" collapsed="false">
      <c r="A113" s="17" t="n">
        <v>32</v>
      </c>
      <c r="B113" s="5" t="str">
        <f aca="false">IF(NOT(AND(MAX(G113,H113,I113)&gt;0,C112+D112+E112&lt;Total_Beds)),"(stopped)",IF(G113=MAX(G113,H113,I113),"Tomato",IF(H113=MAX(G113,H113,I113),"Carrot","Mesclun")))</f>
        <v>Mesclun</v>
      </c>
      <c r="C113" s="17" t="n">
        <f aca="false">C112+IF(B113="Tomato",1,0)</f>
        <v>9</v>
      </c>
      <c r="D113" s="17" t="n">
        <f aca="false">D112+IF(B113="Carrot",1,0)</f>
        <v>11</v>
      </c>
      <c r="E113" s="17" t="n">
        <f aca="false">E112+IF(B113="Mesclun",1,0)</f>
        <v>12</v>
      </c>
      <c r="F113" s="30" t="n">
        <f aca="false">F112+IF(B113="Tomato",INDEX(C5:C24,C112+1),IF(B113="Carrot",INDEX(J5:J24,D112+1),IF(B113="Mesclun",INDEX(Q5:Q34,E112+1),0)))</f>
        <v>2969.73366635484</v>
      </c>
      <c r="G113" s="31" t="n">
        <f aca="false">IF(C112&lt;Tomato_Bed_Cap,Tomato_Price-(MAX(0,MIN(F112+INDEX(C5:C24,C112+1),Own_Labor_Hours)-MIN(F112,Own_Labor_Hours))*Farmer_Implied_Wage+(INDEX(C5:C24,C112+1)-MAX(0,MIN(F112+INDEX(C5:C24,C112+1),Own_Labor_Hours)-MIN(F112,Own_Labor_Hours)))*Temp_Wage_Per_Hour+Tomato_Fertilizer_Per_Bed),-1E+018)</f>
        <v>551.413465624995</v>
      </c>
      <c r="H113" s="31" t="n">
        <f aca="false">IF(D112&lt;Carrot_Bed_Cap,Carrot_Price-(MAX(0,MIN(F112+INDEX(J5:J24,D112+1),Own_Labor_Hours)-MIN(F112,Own_Labor_Hours))*Farmer_Implied_Wage+(INDEX(J5:J24,D112+1)-MAX(0,MIN(F112+INDEX(J5:J24,D112+1),Own_Labor_Hours)-MIN(F112,Own_Labor_Hours)))*Temp_Wage_Per_Hour+Carrot_Fertilizer_Per_Bed),-1E+018)</f>
        <v>765.607992113729</v>
      </c>
      <c r="I113" s="31" t="n">
        <f aca="false">IF(E112&lt;Mesclun_Bed_Cap,Mesclun_Price-(MAX(0,MIN(F112+INDEX(Q5:Q34,E112+1),Own_Labor_Hours)-MIN(F112,Own_Labor_Hours))*Farmer_Implied_Wage+(INDEX(Q5:Q34,E112+1)-MAX(0,MIN(F112+INDEX(Q5:Q34,E112+1),Own_Labor_Hours)-MIN(F112,Own_Labor_Hours)))*Temp_Wage_Per_Hour+Mesclun_Fertilizer_Per_Bed),-1E+018)</f>
        <v>790.009494304439</v>
      </c>
    </row>
    <row r="114" customFormat="false" ht="15" hidden="false" customHeight="false" outlineLevel="0" collapsed="false">
      <c r="A114" s="17" t="n">
        <v>33</v>
      </c>
      <c r="B114" s="5" t="str">
        <f aca="false">IF(NOT(AND(MAX(G114,H114,I114)&gt;0,C113+D113+E113&lt;Total_Beds)),"(stopped)",IF(G114=MAX(G114,H114,I114),"Tomato",IF(H114=MAX(G114,H114,I114),"Carrot","Mesclun")))</f>
        <v>Mesclun</v>
      </c>
      <c r="C114" s="17" t="n">
        <f aca="false">C113+IF(B114="Tomato",1,0)</f>
        <v>9</v>
      </c>
      <c r="D114" s="17" t="n">
        <f aca="false">D113+IF(B114="Carrot",1,0)</f>
        <v>11</v>
      </c>
      <c r="E114" s="17" t="n">
        <f aca="false">E113+IF(B114="Mesclun",1,0)</f>
        <v>13</v>
      </c>
      <c r="F114" s="30" t="n">
        <f aca="false">F113+IF(B114="Tomato",INDEX(C5:C24,C113+1),IF(B114="Carrot",INDEX(J5:J24,D113+1),IF(B114="Mesclun",INDEX(Q5:Q34,E113+1),0)))</f>
        <v>3030.45563706322</v>
      </c>
      <c r="G114" s="31" t="n">
        <f aca="false">IF(C113&lt;Tomato_Bed_Cap,Tomato_Price-(MAX(0,MIN(F113+INDEX(C5:C24,C113+1),Own_Labor_Hours)-MIN(F113,Own_Labor_Hours))*Farmer_Implied_Wage+(INDEX(C5:C24,C113+1)-MAX(0,MIN(F113+INDEX(C5:C24,C113+1),Own_Labor_Hours)-MIN(F113,Own_Labor_Hours)))*Temp_Wage_Per_Hour+Tomato_Fertilizer_Per_Bed),-1E+018)</f>
        <v>551.413465624995</v>
      </c>
      <c r="H114" s="31" t="n">
        <f aca="false">IF(D113&lt;Carrot_Bed_Cap,Carrot_Price-(MAX(0,MIN(F113+INDEX(J5:J24,D113+1),Own_Labor_Hours)-MIN(F113,Own_Labor_Hours))*Farmer_Implied_Wage+(INDEX(J5:J24,D113+1)-MAX(0,MIN(F113+INDEX(J5:J24,D113+1),Own_Labor_Hours)-MIN(F113,Own_Labor_Hours)))*Temp_Wage_Per_Hour+Carrot_Fertilizer_Per_Bed),-1E+018)</f>
        <v>765.607992113729</v>
      </c>
      <c r="I114" s="31" t="n">
        <f aca="false">IF(E113&lt;Mesclun_Bed_Cap,Mesclun_Price-(MAX(0,MIN(F113+INDEX(Q5:Q34,E113+1),Own_Labor_Hours)-MIN(F113,Own_Labor_Hours))*Farmer_Implied_Wage+(INDEX(Q5:Q34,E113+1)-MAX(0,MIN(F113+INDEX(Q5:Q34,E113+1),Own_Labor_Hours)-MIN(F113,Own_Labor_Hours)))*Temp_Wage_Per_Hour+Mesclun_Fertilizer_Per_Bed),-1E+018)</f>
        <v>765.799119646105</v>
      </c>
    </row>
    <row r="115" customFormat="false" ht="15" hidden="false" customHeight="false" outlineLevel="0" collapsed="false">
      <c r="A115" s="17" t="n">
        <v>34</v>
      </c>
      <c r="B115" s="5" t="str">
        <f aca="false">IF(NOT(AND(MAX(G115,H115,I115)&gt;0,C114+D114+E114&lt;Total_Beds)),"(stopped)",IF(G115=MAX(G115,H115,I115),"Tomato",IF(H115=MAX(G115,H115,I115),"Carrot","Mesclun")))</f>
        <v>Carrot</v>
      </c>
      <c r="C115" s="17" t="n">
        <f aca="false">C114+IF(B115="Tomato",1,0)</f>
        <v>9</v>
      </c>
      <c r="D115" s="17" t="n">
        <f aca="false">D114+IF(B115="Carrot",1,0)</f>
        <v>12</v>
      </c>
      <c r="E115" s="17" t="n">
        <f aca="false">E114+IF(B115="Mesclun",1,0)</f>
        <v>13</v>
      </c>
      <c r="F115" s="30" t="n">
        <f aca="false">F114+IF(B115="Tomato",INDEX(C5:C24,C114+1),IF(B115="Carrot",INDEX(J5:J24,D114+1),IF(B115="Mesclun",INDEX(Q5:Q34,E114+1),0)))</f>
        <v>3081.62701671747</v>
      </c>
      <c r="G115" s="31" t="n">
        <f aca="false">IF(C114&lt;Tomato_Bed_Cap,Tomato_Price-(MAX(0,MIN(F114+INDEX(C5:C24,C114+1),Own_Labor_Hours)-MIN(F114,Own_Labor_Hours))*Farmer_Implied_Wage+(INDEX(C5:C24,C114+1)-MAX(0,MIN(F114+INDEX(C5:C24,C114+1),Own_Labor_Hours)-MIN(F114,Own_Labor_Hours)))*Temp_Wage_Per_Hour+Tomato_Fertilizer_Per_Bed),-1E+018)</f>
        <v>551.413465624995</v>
      </c>
      <c r="H115" s="31" t="n">
        <f aca="false">IF(D114&lt;Carrot_Bed_Cap,Carrot_Price-(MAX(0,MIN(F114+INDEX(J5:J24,D114+1),Own_Labor_Hours)-MIN(F114,Own_Labor_Hours))*Farmer_Implied_Wage+(INDEX(J5:J24,D114+1)-MAX(0,MIN(F114+INDEX(J5:J24,D114+1),Own_Labor_Hours)-MIN(F114,Own_Labor_Hours)))*Temp_Wage_Per_Hour+Carrot_Fertilizer_Per_Bed),-1E+018)</f>
        <v>765.607992113729</v>
      </c>
      <c r="I115" s="31" t="n">
        <f aca="false">IF(E114&lt;Mesclun_Bed_Cap,Mesclun_Price-(MAX(0,MIN(F114+INDEX(Q5:Q34,E114+1),Own_Labor_Hours)-MIN(F114,Own_Labor_Hours))*Farmer_Implied_Wage+(INDEX(Q5:Q34,E114+1)-MAX(0,MIN(F114+INDEX(Q5:Q34,E114+1),Own_Labor_Hours)-MIN(F114,Own_Labor_Hours)))*Temp_Wage_Per_Hour+Mesclun_Fertilizer_Per_Bed),-1E+018)</f>
        <v>741.144421637829</v>
      </c>
    </row>
    <row r="116" customFormat="false" ht="15" hidden="false" customHeight="false" outlineLevel="0" collapsed="false">
      <c r="A116" s="17" t="n">
        <v>35</v>
      </c>
      <c r="B116" s="5" t="str">
        <f aca="false">IF(NOT(AND(MAX(G116,H116,I116)&gt;0,C115+D115+E115&lt;Total_Beds)),"(stopped)",IF(G116=MAX(G116,H116,I116),"Tomato",IF(H116=MAX(G116,H116,I116),"Carrot","Mesclun")))</f>
        <v>Mesclun</v>
      </c>
      <c r="C116" s="17" t="n">
        <f aca="false">C115+IF(B116="Tomato",1,0)</f>
        <v>9</v>
      </c>
      <c r="D116" s="17" t="n">
        <f aca="false">D115+IF(B116="Carrot",1,0)</f>
        <v>12</v>
      </c>
      <c r="E116" s="17" t="n">
        <f aca="false">E115+IF(B116="Mesclun",1,0)</f>
        <v>14</v>
      </c>
      <c r="F116" s="30" t="n">
        <f aca="false">F115+IF(B116="Tomato",INDEX(C5:C24,C115+1),IF(B116="Carrot",INDEX(J5:J24,D115+1),IF(B116="Mesclun",INDEX(Q5:Q34,E115+1),0)))</f>
        <v>3143.76909803113</v>
      </c>
      <c r="G116" s="31" t="n">
        <f aca="false">IF(C115&lt;Tomato_Bed_Cap,Tomato_Price-(MAX(0,MIN(F115+INDEX(C5:C24,C115+1),Own_Labor_Hours)-MIN(F115,Own_Labor_Hours))*Farmer_Implied_Wage+(INDEX(C5:C24,C115+1)-MAX(0,MIN(F115+INDEX(C5:C24,C115+1),Own_Labor_Hours)-MIN(F115,Own_Labor_Hours)))*Temp_Wage_Per_Hour+Tomato_Fertilizer_Per_Bed),-1E+018)</f>
        <v>551.413465624995</v>
      </c>
      <c r="H116" s="31" t="n">
        <f aca="false">IF(D115&lt;Carrot_Bed_Cap,Carrot_Price-(MAX(0,MIN(F115+INDEX(J5:J24,D115+1),Own_Labor_Hours)-MIN(F115,Own_Labor_Hours))*Farmer_Implied_Wage+(INDEX(J5:J24,D115+1)-MAX(0,MIN(F115+INDEX(J5:J24,D115+1),Own_Labor_Hours)-MIN(F115,Own_Labor_Hours)))*Temp_Wage_Per_Hour+Carrot_Fertilizer_Per_Bed),-1E+018)</f>
        <v>725.886618684199</v>
      </c>
      <c r="I116" s="31" t="n">
        <f aca="false">IF(E115&lt;Mesclun_Bed_Cap,Mesclun_Price-(MAX(0,MIN(F115+INDEX(Q5:Q34,E115+1),Own_Labor_Hours)-MIN(F115,Own_Labor_Hours))*Farmer_Implied_Wage+(INDEX(Q5:Q34,E115+1)-MAX(0,MIN(F115+INDEX(Q5:Q34,E115+1),Own_Labor_Hours)-MIN(F115,Own_Labor_Hours)))*Temp_Wage_Per_Hour+Mesclun_Fertilizer_Per_Bed),-1E+018)</f>
        <v>741.144421637829</v>
      </c>
    </row>
    <row r="117" customFormat="false" ht="15" hidden="false" customHeight="false" outlineLevel="0" collapsed="false">
      <c r="A117" s="17" t="n">
        <v>36</v>
      </c>
      <c r="B117" s="5" t="str">
        <f aca="false">IF(NOT(AND(MAX(G117,H117,I117)&gt;0,C116+D116+E116&lt;Total_Beds)),"(stopped)",IF(G117=MAX(G117,H117,I117),"Tomato",IF(H117=MAX(G117,H117,I117),"Carrot","Mesclun")))</f>
        <v>Carrot</v>
      </c>
      <c r="C117" s="17" t="n">
        <f aca="false">C116+IF(B117="Tomato",1,0)</f>
        <v>9</v>
      </c>
      <c r="D117" s="17" t="n">
        <f aca="false">D116+IF(B117="Carrot",1,0)</f>
        <v>13</v>
      </c>
      <c r="E117" s="17" t="n">
        <f aca="false">E116+IF(B117="Mesclun",1,0)</f>
        <v>14</v>
      </c>
      <c r="F117" s="30" t="n">
        <f aca="false">F116+IF(B117="Tomato",INDEX(C5:C24,C116+1),IF(B117="Carrot",INDEX(J5:J24,D116+1),IF(B117="Mesclun",INDEX(Q5:Q34,E116+1),0)))</f>
        <v>3197.22842879492</v>
      </c>
      <c r="G117" s="31" t="n">
        <f aca="false">IF(C116&lt;Tomato_Bed_Cap,Tomato_Price-(MAX(0,MIN(F116+INDEX(C5:C24,C116+1),Own_Labor_Hours)-MIN(F116,Own_Labor_Hours))*Farmer_Implied_Wage+(INDEX(C5:C24,C116+1)-MAX(0,MIN(F116+INDEX(C5:C24,C116+1),Own_Labor_Hours)-MIN(F116,Own_Labor_Hours)))*Temp_Wage_Per_Hour+Tomato_Fertilizer_Per_Bed),-1E+018)</f>
        <v>551.413465624995</v>
      </c>
      <c r="H117" s="31" t="n">
        <f aca="false">IF(D116&lt;Carrot_Bed_Cap,Carrot_Price-(MAX(0,MIN(F116+INDEX(J5:J24,D116+1),Own_Labor_Hours)-MIN(F116,Own_Labor_Hours))*Farmer_Implied_Wage+(INDEX(J5:J24,D116+1)-MAX(0,MIN(F116+INDEX(J5:J24,D116+1),Own_Labor_Hours)-MIN(F116,Own_Labor_Hours)))*Temp_Wage_Per_Hour+Carrot_Fertilizer_Per_Bed),-1E+018)</f>
        <v>725.886618684199</v>
      </c>
      <c r="I117" s="31" t="n">
        <f aca="false">IF(E116&lt;Mesclun_Bed_Cap,Mesclun_Price-(MAX(0,MIN(F116+INDEX(Q5:Q34,E116+1),Own_Labor_Hours)-MIN(F116,Own_Labor_Hours))*Farmer_Implied_Wage+(INDEX(Q5:Q34,E116+1)-MAX(0,MIN(F116+INDEX(Q5:Q34,E116+1),Own_Labor_Hours)-MIN(F116,Own_Labor_Hours)))*Temp_Wage_Per_Hour+Mesclun_Fertilizer_Per_Bed),-1E+018)</f>
        <v>716.038075066903</v>
      </c>
    </row>
    <row r="118" customFormat="false" ht="15" hidden="false" customHeight="false" outlineLevel="0" collapsed="false">
      <c r="A118" s="17" t="n">
        <v>37</v>
      </c>
      <c r="B118" s="5" t="str">
        <f aca="false">IF(NOT(AND(MAX(G118,H118,I118)&gt;0,C117+D117+E117&lt;Total_Beds)),"(stopped)",IF(G118=MAX(G118,H118,I118),"Tomato",IF(H118=MAX(G118,H118,I118),"Carrot","Mesclun")))</f>
        <v>Mesclun</v>
      </c>
      <c r="C118" s="17" t="n">
        <f aca="false">C117+IF(B118="Tomato",1,0)</f>
        <v>9</v>
      </c>
      <c r="D118" s="17" t="n">
        <f aca="false">D117+IF(B118="Carrot",1,0)</f>
        <v>13</v>
      </c>
      <c r="E118" s="17" t="n">
        <f aca="false">E117+IF(B118="Mesclun",1,0)</f>
        <v>15</v>
      </c>
      <c r="F118" s="30" t="n">
        <f aca="false">F117+IF(B118="Tomato",INDEX(C5:C24,C117+1),IF(B118="Carrot",INDEX(J5:J24,D117+1),IF(B118="Mesclun",INDEX(Q5:Q34,E117+1),0)))</f>
        <v>3260.81663567107</v>
      </c>
      <c r="G118" s="31" t="n">
        <f aca="false">IF(C117&lt;Tomato_Bed_Cap,Tomato_Price-(MAX(0,MIN(F117+INDEX(C5:C24,C117+1),Own_Labor_Hours)-MIN(F117,Own_Labor_Hours))*Farmer_Implied_Wage+(INDEX(C5:C24,C117+1)-MAX(0,MIN(F117+INDEX(C5:C24,C117+1),Own_Labor_Hours)-MIN(F117,Own_Labor_Hours)))*Temp_Wage_Per_Hour+Tomato_Fertilizer_Per_Bed),-1E+018)</f>
        <v>551.413465624995</v>
      </c>
      <c r="H118" s="31" t="n">
        <f aca="false">IF(D117&lt;Carrot_Bed_Cap,Carrot_Price-(MAX(0,MIN(F117+INDEX(J5:J24,D117+1),Own_Labor_Hours)-MIN(F117,Own_Labor_Hours))*Farmer_Implied_Wage+(INDEX(J5:J24,D117+1)-MAX(0,MIN(F117+INDEX(J5:J24,D117+1),Own_Labor_Hours)-MIN(F117,Own_Labor_Hours)))*Temp_Wage_Per_Hour+Carrot_Fertilizer_Per_Bed),-1E+018)</f>
        <v>684.734421588116</v>
      </c>
      <c r="I118" s="31" t="n">
        <f aca="false">IF(E117&lt;Mesclun_Bed_Cap,Mesclun_Price-(MAX(0,MIN(F117+INDEX(Q5:Q34,E117+1),Own_Labor_Hours)-MIN(F117,Own_Labor_Hours))*Farmer_Implied_Wage+(INDEX(Q5:Q34,E117+1)-MAX(0,MIN(F117+INDEX(Q5:Q34,E117+1),Own_Labor_Hours)-MIN(F117,Own_Labor_Hours)))*Temp_Wage_Per_Hour+Mesclun_Fertilizer_Per_Bed),-1E+018)</f>
        <v>716.038075066903</v>
      </c>
    </row>
    <row r="119" customFormat="false" ht="15" hidden="false" customHeight="false" outlineLevel="0" collapsed="false">
      <c r="A119" s="17" t="n">
        <v>38</v>
      </c>
      <c r="B119" s="5" t="str">
        <f aca="false">IF(NOT(AND(MAX(G119,H119,I119)&gt;0,C118+D118+E118&lt;Total_Beds)),"(stopped)",IF(G119=MAX(G119,H119,I119),"Tomato",IF(H119=MAX(G119,H119,I119),"Carrot","Mesclun")))</f>
        <v>Mesclun</v>
      </c>
      <c r="C119" s="17" t="n">
        <f aca="false">C118+IF(B119="Tomato",1,0)</f>
        <v>9</v>
      </c>
      <c r="D119" s="17" t="n">
        <f aca="false">D118+IF(B119="Carrot",1,0)</f>
        <v>13</v>
      </c>
      <c r="E119" s="17" t="n">
        <f aca="false">E118+IF(B119="Mesclun",1,0)</f>
        <v>16</v>
      </c>
      <c r="F119" s="30" t="n">
        <f aca="false">F118+IF(B119="Tomato",INDEX(C5:C24,C118+1),IF(B119="Carrot",INDEX(J5:J24,D118+1),IF(B119="Mesclun",INDEX(Q5:Q34,E118+1),0)))</f>
        <v>3325.87741154856</v>
      </c>
      <c r="G119" s="31" t="n">
        <f aca="false">IF(C118&lt;Tomato_Bed_Cap,Tomato_Price-(MAX(0,MIN(F118+INDEX(C5:C24,C118+1),Own_Labor_Hours)-MIN(F118,Own_Labor_Hours))*Farmer_Implied_Wage+(INDEX(C5:C24,C118+1)-MAX(0,MIN(F118+INDEX(C5:C24,C118+1),Own_Labor_Hours)-MIN(F118,Own_Labor_Hours)))*Temp_Wage_Per_Hour+Tomato_Fertilizer_Per_Bed),-1E+018)</f>
        <v>551.413465624995</v>
      </c>
      <c r="H119" s="31" t="n">
        <f aca="false">IF(D118&lt;Carrot_Bed_Cap,Carrot_Price-(MAX(0,MIN(F118+INDEX(J5:J24,D118+1),Own_Labor_Hours)-MIN(F118,Own_Labor_Hours))*Farmer_Implied_Wage+(INDEX(J5:J24,D118+1)-MAX(0,MIN(F118+INDEX(J5:J24,D118+1),Own_Labor_Hours)-MIN(F118,Own_Labor_Hours)))*Temp_Wage_Per_Hour+Carrot_Fertilizer_Per_Bed),-1E+018)</f>
        <v>684.734421588116</v>
      </c>
      <c r="I119" s="31" t="n">
        <f aca="false">IF(E118&lt;Mesclun_Bed_Cap,Mesclun_Price-(MAX(0,MIN(F118+INDEX(Q5:Q34,E118+1),Own_Labor_Hours)-MIN(F118,Own_Labor_Hours))*Farmer_Implied_Wage+(INDEX(Q5:Q34,E118+1)-MAX(0,MIN(F118+INDEX(Q5:Q34,E118+1),Own_Labor_Hours)-MIN(F118,Own_Labor_Hours)))*Temp_Wage_Per_Hour+Mesclun_Fertilizer_Per_Bed),-1E+018)</f>
        <v>690.472641015817</v>
      </c>
    </row>
    <row r="120" customFormat="false" ht="15" hidden="false" customHeight="false" outlineLevel="0" collapsed="false">
      <c r="A120" s="17" t="n">
        <v>39</v>
      </c>
      <c r="B120" s="5" t="str">
        <f aca="false">IF(NOT(AND(MAX(G120,H120,I120)&gt;0,C119+D119+E119&lt;Total_Beds)),"(stopped)",IF(G120=MAX(G120,H120,I120),"Tomato",IF(H120=MAX(G120,H120,I120),"Carrot","Mesclun")))</f>
        <v>Carrot</v>
      </c>
      <c r="C120" s="17" t="n">
        <f aca="false">C119+IF(B120="Tomato",1,0)</f>
        <v>9</v>
      </c>
      <c r="D120" s="17" t="n">
        <f aca="false">D119+IF(B120="Carrot",1,0)</f>
        <v>14</v>
      </c>
      <c r="E120" s="17" t="n">
        <f aca="false">E119+IF(B120="Mesclun",1,0)</f>
        <v>16</v>
      </c>
      <c r="F120" s="30" t="n">
        <f aca="false">F119+IF(B120="Tomato",INDEX(C5:C24,C119+1),IF(B120="Carrot",INDEX(J5:J24,D119+1),IF(B120="Mesclun",INDEX(Q5:Q34,E119+1),0)))</f>
        <v>3381.70710886508</v>
      </c>
      <c r="G120" s="31" t="n">
        <f aca="false">IF(C119&lt;Tomato_Bed_Cap,Tomato_Price-(MAX(0,MIN(F119+INDEX(C5:C24,C119+1),Own_Labor_Hours)-MIN(F119,Own_Labor_Hours))*Farmer_Implied_Wage+(INDEX(C5:C24,C119+1)-MAX(0,MIN(F119+INDEX(C5:C24,C119+1),Own_Labor_Hours)-MIN(F119,Own_Labor_Hours)))*Temp_Wage_Per_Hour+Tomato_Fertilizer_Per_Bed),-1E+018)</f>
        <v>551.413465624995</v>
      </c>
      <c r="H120" s="31" t="n">
        <f aca="false">IF(D119&lt;Carrot_Bed_Cap,Carrot_Price-(MAX(0,MIN(F119+INDEX(J5:J24,D119+1),Own_Labor_Hours)-MIN(F119,Own_Labor_Hours))*Farmer_Implied_Wage+(INDEX(J5:J24,D119+1)-MAX(0,MIN(F119+INDEX(J5:J24,D119+1),Own_Labor_Hours)-MIN(F119,Own_Labor_Hours)))*Temp_Wage_Per_Hour+Carrot_Fertilizer_Per_Bed),-1E+018)</f>
        <v>684.734421588116</v>
      </c>
      <c r="I120" s="31" t="n">
        <f aca="false">IF(E119&lt;Mesclun_Bed_Cap,Mesclun_Price-(MAX(0,MIN(F119+INDEX(Q5:Q34,E119+1),Own_Labor_Hours)-MIN(F119,Own_Labor_Hours))*Farmer_Implied_Wage+(INDEX(Q5:Q34,E119+1)-MAX(0,MIN(F119+INDEX(Q5:Q34,E119+1),Own_Labor_Hours)-MIN(F119,Own_Labor_Hours)))*Temp_Wage_Per_Hour+Mesclun_Fertilizer_Per_Bed),-1E+018)</f>
        <v>664.440565164232</v>
      </c>
    </row>
    <row r="121" customFormat="false" ht="15" hidden="false" customHeight="false" outlineLevel="0" collapsed="false">
      <c r="A121" s="17" t="n">
        <v>40</v>
      </c>
      <c r="B121" s="5" t="str">
        <f aca="false">IF(NOT(AND(MAX(G121,H121,I121)&gt;0,C120+D120+E120&lt;Total_Beds)),"(stopped)",IF(G121=MAX(G121,H121,I121),"Tomato",IF(H121=MAX(G121,H121,I121),"Carrot","Mesclun")))</f>
        <v>Mesclun</v>
      </c>
      <c r="C121" s="17" t="n">
        <f aca="false">C120+IF(B121="Tomato",1,0)</f>
        <v>9</v>
      </c>
      <c r="D121" s="17" t="n">
        <f aca="false">D120+IF(B121="Carrot",1,0)</f>
        <v>14</v>
      </c>
      <c r="E121" s="17" t="n">
        <f aca="false">E120+IF(B121="Mesclun",1,0)</f>
        <v>17</v>
      </c>
      <c r="F121" s="30" t="n">
        <f aca="false">F120+IF(B121="Tomato",INDEX(C5:C24,C120+1),IF(B121="Carrot",INDEX(J5:J24,D120+1),IF(B121="Mesclun",INDEX(Q5:Q34,E120+1),0)))</f>
        <v>3448.26733231162</v>
      </c>
      <c r="G121" s="31" t="n">
        <f aca="false">IF(C120&lt;Tomato_Bed_Cap,Tomato_Price-(MAX(0,MIN(F120+INDEX(C5:C24,C120+1),Own_Labor_Hours)-MIN(F120,Own_Labor_Hours))*Farmer_Implied_Wage+(INDEX(C5:C24,C120+1)-MAX(0,MIN(F120+INDEX(C5:C24,C120+1),Own_Labor_Hours)-MIN(F120,Own_Labor_Hours)))*Temp_Wage_Per_Hour+Tomato_Fertilizer_Per_Bed),-1E+018)</f>
        <v>551.413465624995</v>
      </c>
      <c r="H121" s="31" t="n">
        <f aca="false">IF(D120&lt;Carrot_Bed_Cap,Carrot_Price-(MAX(0,MIN(F120+INDEX(J5:J24,D120+1),Own_Labor_Hours)-MIN(F120,Own_Labor_Hours))*Farmer_Implied_Wage+(INDEX(J5:J24,D120+1)-MAX(0,MIN(F120+INDEX(J5:J24,D120+1),Own_Labor_Hours)-MIN(F120,Own_Labor_Hours)))*Temp_Wage_Per_Hour+Carrot_Fertilizer_Per_Bed),-1E+018)</f>
        <v>642.104685500561</v>
      </c>
      <c r="I121" s="31" t="n">
        <f aca="false">IF(E120&lt;Mesclun_Bed_Cap,Mesclun_Price-(MAX(0,MIN(F120+INDEX(Q5:Q34,E120+1),Own_Labor_Hours)-MIN(F120,Own_Labor_Hours))*Farmer_Implied_Wage+(INDEX(Q5:Q34,E120+1)-MAX(0,MIN(F120+INDEX(Q5:Q34,E120+1),Own_Labor_Hours)-MIN(F120,Own_Labor_Hours)))*Temp_Wage_Per_Hour+Mesclun_Fertilizer_Per_Bed),-1E+018)</f>
        <v>664.440565164232</v>
      </c>
    </row>
    <row r="122" customFormat="false" ht="15" hidden="false" customHeight="false" outlineLevel="0" collapsed="false">
      <c r="A122" s="17" t="n">
        <v>41</v>
      </c>
      <c r="B122" s="5" t="str">
        <f aca="false">IF(NOT(AND(MAX(G122,H122,I122)&gt;0,C121+D121+E121&lt;Total_Beds)),"(stopped)",IF(G122=MAX(G122,H122,I122),"Tomato",IF(H122=MAX(G122,H122,I122),"Carrot","Mesclun")))</f>
        <v>Carrot</v>
      </c>
      <c r="C122" s="17" t="n">
        <f aca="false">C121+IF(B122="Tomato",1,0)</f>
        <v>9</v>
      </c>
      <c r="D122" s="17" t="n">
        <f aca="false">D121+IF(B122="Carrot",1,0)</f>
        <v>15</v>
      </c>
      <c r="E122" s="17" t="n">
        <f aca="false">E121+IF(B122="Mesclun",1,0)</f>
        <v>17</v>
      </c>
      <c r="F122" s="30" t="n">
        <f aca="false">F121+IF(B122="Tomato",INDEX(C5:C24,C121+1),IF(B122="Carrot",INDEX(J5:J24,D121+1),IF(B122="Mesclun",INDEX(Q5:Q34,E121+1),0)))</f>
        <v>3506.55250242679</v>
      </c>
      <c r="G122" s="31" t="n">
        <f aca="false">IF(C121&lt;Tomato_Bed_Cap,Tomato_Price-(MAX(0,MIN(F121+INDEX(C5:C24,C121+1),Own_Labor_Hours)-MIN(F121,Own_Labor_Hours))*Farmer_Implied_Wage+(INDEX(C5:C24,C121+1)-MAX(0,MIN(F121+INDEX(C5:C24,C121+1),Own_Labor_Hours)-MIN(F121,Own_Labor_Hours)))*Temp_Wage_Per_Hour+Tomato_Fertilizer_Per_Bed),-1E+018)</f>
        <v>551.413465624995</v>
      </c>
      <c r="H122" s="31" t="n">
        <f aca="false">IF(D121&lt;Carrot_Bed_Cap,Carrot_Price-(MAX(0,MIN(F121+INDEX(J5:J24,D121+1),Own_Labor_Hours)-MIN(F121,Own_Labor_Hours))*Farmer_Implied_Wage+(INDEX(J5:J24,D121+1)-MAX(0,MIN(F121+INDEX(J5:J24,D121+1),Own_Labor_Hours)-MIN(F121,Own_Labor_Hours)))*Temp_Wage_Per_Hour+Carrot_Fertilizer_Per_Bed),-1E+018)</f>
        <v>642.104685500561</v>
      </c>
      <c r="I122" s="31" t="n">
        <f aca="false">IF(E121&lt;Mesclun_Bed_Cap,Mesclun_Price-(MAX(0,MIN(F121+INDEX(Q5:Q34,E121+1),Own_Labor_Hours)-MIN(F121,Own_Labor_Hours))*Farmer_Implied_Wage+(INDEX(Q5:Q34,E121+1)-MAX(0,MIN(F121+INDEX(Q5:Q34,E121+1),Own_Labor_Hours)-MIN(F121,Own_Labor_Hours)))*Temp_Wage_Per_Hour+Mesclun_Fertilizer_Per_Bed),-1E+018)</f>
        <v>637.934176066194</v>
      </c>
    </row>
    <row r="123" customFormat="false" ht="15" hidden="false" customHeight="false" outlineLevel="0" collapsed="false">
      <c r="A123" s="17" t="n">
        <v>42</v>
      </c>
      <c r="B123" s="5" t="str">
        <f aca="false">IF(NOT(AND(MAX(G123,H123,I123)&gt;0,C122+D122+E122&lt;Total_Beds)),"(stopped)",IF(G123=MAX(G123,H123,I123),"Tomato",IF(H123=MAX(G123,H123,I123),"Carrot","Mesclun")))</f>
        <v>Mesclun</v>
      </c>
      <c r="C123" s="17" t="n">
        <f aca="false">C122+IF(B123="Tomato",1,0)</f>
        <v>9</v>
      </c>
      <c r="D123" s="17" t="n">
        <f aca="false">D122+IF(B123="Carrot",1,0)</f>
        <v>15</v>
      </c>
      <c r="E123" s="17" t="n">
        <f aca="false">E122+IF(B123="Mesclun",1,0)</f>
        <v>18</v>
      </c>
      <c r="F123" s="30" t="n">
        <f aca="false">F122+IF(B123="Tomato",INDEX(C5:C24,C122+1),IF(B123="Carrot",INDEX(J5:J24,D122+1),IF(B123="Mesclun",INDEX(Q5:Q34,E122+1),0)))</f>
        <v>3574.63949388538</v>
      </c>
      <c r="G123" s="31" t="n">
        <f aca="false">IF(C122&lt;Tomato_Bed_Cap,Tomato_Price-(MAX(0,MIN(F122+INDEX(C5:C24,C122+1),Own_Labor_Hours)-MIN(F122,Own_Labor_Hours))*Farmer_Implied_Wage+(INDEX(C5:C24,C122+1)-MAX(0,MIN(F122+INDEX(C5:C24,C122+1),Own_Labor_Hours)-MIN(F122,Own_Labor_Hours)))*Temp_Wage_Per_Hour+Tomato_Fertilizer_Per_Bed),-1E+018)</f>
        <v>551.413465624995</v>
      </c>
      <c r="H123" s="31" t="n">
        <f aca="false">IF(D122&lt;Carrot_Bed_Cap,Carrot_Price-(MAX(0,MIN(F122+INDEX(J5:J24,D122+1),Own_Labor_Hours)-MIN(F122,Own_Labor_Hours))*Farmer_Implied_Wage+(INDEX(J5:J24,D122+1)-MAX(0,MIN(F122+INDEX(J5:J24,D122+1),Own_Labor_Hours)-MIN(F122,Own_Labor_Hours)))*Temp_Wage_Per_Hour+Carrot_Fertilizer_Per_Bed),-1E+018)</f>
        <v>597.94925359513</v>
      </c>
      <c r="I123" s="31" t="n">
        <f aca="false">IF(E122&lt;Mesclun_Bed_Cap,Mesclun_Price-(MAX(0,MIN(F122+INDEX(Q5:Q34,E122+1),Own_Labor_Hours)-MIN(F122,Own_Labor_Hours))*Farmer_Implied_Wage+(INDEX(Q5:Q34,E122+1)-MAX(0,MIN(F122+INDEX(Q5:Q34,E122+1),Own_Labor_Hours)-MIN(F122,Own_Labor_Hours)))*Temp_Wage_Per_Hour+Mesclun_Fertilizer_Per_Bed),-1E+018)</f>
        <v>637.934176066194</v>
      </c>
    </row>
    <row r="124" customFormat="false" ht="15" hidden="false" customHeight="false" outlineLevel="0" collapsed="false">
      <c r="A124" s="17" t="n">
        <v>43</v>
      </c>
      <c r="B124" s="5" t="str">
        <f aca="false">IF(NOT(AND(MAX(G124,H124,I124)&gt;0,C123+D123+E123&lt;Total_Beds)),"(stopped)",IF(G124=MAX(G124,H124,I124),"Tomato",IF(H124=MAX(G124,H124,I124),"Carrot","Mesclun")))</f>
        <v>Mesclun</v>
      </c>
      <c r="C124" s="17" t="n">
        <f aca="false">C123+IF(B124="Tomato",1,0)</f>
        <v>9</v>
      </c>
      <c r="D124" s="17" t="n">
        <f aca="false">D123+IF(B124="Carrot",1,0)</f>
        <v>15</v>
      </c>
      <c r="E124" s="17" t="n">
        <f aca="false">E123+IF(B124="Mesclun",1,0)</f>
        <v>19</v>
      </c>
      <c r="F124" s="30" t="n">
        <f aca="false">F123+IF(B124="Tomato",INDEX(C5:C24,C123+1),IF(B124="Carrot",INDEX(J5:J24,D123+1),IF(B124="Mesclun",INDEX(Q5:Q34,E123+1),0)))</f>
        <v>3644.2810225214</v>
      </c>
      <c r="G124" s="31" t="n">
        <f aca="false">IF(C123&lt;Tomato_Bed_Cap,Tomato_Price-(MAX(0,MIN(F123+INDEX(C5:C24,C123+1),Own_Labor_Hours)-MIN(F123,Own_Labor_Hours))*Farmer_Implied_Wage+(INDEX(C5:C24,C123+1)-MAX(0,MIN(F123+INDEX(C5:C24,C123+1),Own_Labor_Hours)-MIN(F123,Own_Labor_Hours)))*Temp_Wage_Per_Hour+Tomato_Fertilizer_Per_Bed),-1E+018)</f>
        <v>551.413465624995</v>
      </c>
      <c r="H124" s="31" t="n">
        <f aca="false">IF(D123&lt;Carrot_Bed_Cap,Carrot_Price-(MAX(0,MIN(F123+INDEX(J5:J24,D123+1),Own_Labor_Hours)-MIN(F123,Own_Labor_Hours))*Farmer_Implied_Wage+(INDEX(J5:J24,D123+1)-MAX(0,MIN(F123+INDEX(J5:J24,D123+1),Own_Labor_Hours)-MIN(F123,Own_Labor_Hours)))*Temp_Wage_Per_Hour+Carrot_Fertilizer_Per_Bed),-1E+018)</f>
        <v>597.94925359513</v>
      </c>
      <c r="I124" s="31" t="n">
        <f aca="false">IF(E123&lt;Mesclun_Bed_Cap,Mesclun_Price-(MAX(0,MIN(F123+INDEX(Q5:Q34,E123+1),Own_Labor_Hours)-MIN(F123,Own_Labor_Hours))*Farmer_Implied_Wage+(INDEX(Q5:Q34,E123+1)-MAX(0,MIN(F123+INDEX(Q5:Q34,E123+1),Own_Labor_Hours)-MIN(F123,Own_Labor_Hours)))*Temp_Wage_Per_Hour+Mesclun_Fertilizer_Per_Bed),-1E+018)</f>
        <v>610.945683402397</v>
      </c>
    </row>
    <row r="125" customFormat="false" ht="15" hidden="false" customHeight="false" outlineLevel="0" collapsed="false">
      <c r="A125" s="17" t="n">
        <v>44</v>
      </c>
      <c r="B125" s="5" t="str">
        <f aca="false">IF(NOT(AND(MAX(G125,H125,I125)&gt;0,C124+D124+E124&lt;Total_Beds)),"(stopped)",IF(G125=MAX(G125,H125,I125),"Tomato",IF(H125=MAX(G125,H125,I125),"Carrot","Mesclun")))</f>
        <v>Carrot</v>
      </c>
      <c r="C125" s="17" t="n">
        <f aca="false">C124+IF(B125="Tomato",1,0)</f>
        <v>9</v>
      </c>
      <c r="D125" s="17" t="n">
        <f aca="false">D124+IF(B125="Carrot",1,0)</f>
        <v>16</v>
      </c>
      <c r="E125" s="17" t="n">
        <f aca="false">E124+IF(B125="Mesclun",1,0)</f>
        <v>19</v>
      </c>
      <c r="F125" s="30" t="n">
        <f aca="false">F124+IF(B125="Tomato",INDEX(C5:C24,C124+1),IF(B125="Carrot",INDEX(J5:J24,D124+1),IF(B125="Mesclun",INDEX(Q5:Q34,E124+1),0)))</f>
        <v>3705.10954551432</v>
      </c>
      <c r="G125" s="31" t="n">
        <f aca="false">IF(C124&lt;Tomato_Bed_Cap,Tomato_Price-(MAX(0,MIN(F124+INDEX(C5:C24,C124+1),Own_Labor_Hours)-MIN(F124,Own_Labor_Hours))*Farmer_Implied_Wage+(INDEX(C5:C24,C124+1)-MAX(0,MIN(F124+INDEX(C5:C24,C124+1),Own_Labor_Hours)-MIN(F124,Own_Labor_Hours)))*Temp_Wage_Per_Hour+Tomato_Fertilizer_Per_Bed),-1E+018)</f>
        <v>551.413465624995</v>
      </c>
      <c r="H125" s="31" t="n">
        <f aca="false">IF(D124&lt;Carrot_Bed_Cap,Carrot_Price-(MAX(0,MIN(F124+INDEX(J5:J24,D124+1),Own_Labor_Hours)-MIN(F124,Own_Labor_Hours))*Farmer_Implied_Wage+(INDEX(J5:J24,D124+1)-MAX(0,MIN(F124+INDEX(J5:J24,D124+1),Own_Labor_Hours)-MIN(F124,Own_Labor_Hours)))*Temp_Wage_Per_Hour+Carrot_Fertilizer_Per_Bed),-1E+018)</f>
        <v>597.94925359513</v>
      </c>
      <c r="I125" s="31" t="n">
        <f aca="false">IF(E124&lt;Mesclun_Bed_Cap,Mesclun_Price-(MAX(0,MIN(F124+INDEX(Q5:Q34,E124+1),Own_Labor_Hours)-MIN(F124,Own_Labor_Hours))*Farmer_Implied_Wage+(INDEX(Q5:Q34,E124+1)-MAX(0,MIN(F124+INDEX(Q5:Q34,E124+1),Own_Labor_Hours)-MIN(F124,Own_Labor_Hours)))*Temp_Wage_Per_Hour+Mesclun_Fertilizer_Per_Bed),-1E+018)</f>
        <v>583.467176206999</v>
      </c>
    </row>
    <row r="126" customFormat="false" ht="15" hidden="false" customHeight="false" outlineLevel="0" collapsed="false">
      <c r="A126" s="17" t="n">
        <v>45</v>
      </c>
      <c r="B126" s="5" t="str">
        <f aca="false">IF(NOT(AND(MAX(G126,H126,I126)&gt;0,C125+D125+E125&lt;Total_Beds)),"(stopped)",IF(G126=MAX(G126,H126,I126),"Tomato",IF(H126=MAX(G126,H126,I126),"Carrot","Mesclun")))</f>
        <v>Mesclun</v>
      </c>
      <c r="C126" s="17" t="n">
        <f aca="false">C125+IF(B126="Tomato",1,0)</f>
        <v>9</v>
      </c>
      <c r="D126" s="17" t="n">
        <f aca="false">D125+IF(B126="Carrot",1,0)</f>
        <v>16</v>
      </c>
      <c r="E126" s="17" t="n">
        <f aca="false">E125+IF(B126="Mesclun",1,0)</f>
        <v>20</v>
      </c>
      <c r="F126" s="30" t="n">
        <f aca="false">F125+IF(B126="Tomato",INDEX(C5:C24,C125+1),IF(B126="Carrot",INDEX(J5:J24,D125+1),IF(B126="Mesclun",INDEX(Q5:Q34,E125+1),0)))</f>
        <v>3776.3338361648</v>
      </c>
      <c r="G126" s="31" t="n">
        <f aca="false">IF(C125&lt;Tomato_Bed_Cap,Tomato_Price-(MAX(0,MIN(F125+INDEX(C5:C24,C125+1),Own_Labor_Hours)-MIN(F125,Own_Labor_Hours))*Farmer_Implied_Wage+(INDEX(C5:C24,C125+1)-MAX(0,MIN(F125+INDEX(C5:C24,C125+1),Own_Labor_Hours)-MIN(F125,Own_Labor_Hours)))*Temp_Wage_Per_Hour+Tomato_Fertilizer_Per_Bed),-1E+018)</f>
        <v>551.413465624995</v>
      </c>
      <c r="H126" s="31" t="n">
        <f aca="false">IF(D125&lt;Carrot_Bed_Cap,Carrot_Price-(MAX(0,MIN(F125+INDEX(J5:J24,D125+1),Own_Labor_Hours)-MIN(F125,Own_Labor_Hours))*Farmer_Implied_Wage+(INDEX(J5:J24,D125+1)-MAX(0,MIN(F125+INDEX(J5:J24,D125+1),Own_Labor_Hours)-MIN(F125,Own_Labor_Hours)))*Temp_Wage_Per_Hour+Carrot_Fertilizer_Per_Bed),-1E+018)</f>
        <v>552.218484665988</v>
      </c>
      <c r="I126" s="31" t="n">
        <f aca="false">IF(E125&lt;Mesclun_Bed_Cap,Mesclun_Price-(MAX(0,MIN(F125+INDEX(Q5:Q34,E125+1),Own_Labor_Hours)-MIN(F125,Own_Labor_Hours))*Farmer_Implied_Wage+(INDEX(Q5:Q34,E125+1)-MAX(0,MIN(F125+INDEX(Q5:Q34,E125+1),Own_Labor_Hours)-MIN(F125,Own_Labor_Hours)))*Temp_Wage_Per_Hour+Mesclun_Fertilizer_Per_Bed),-1E+018)</f>
        <v>583.467176206999</v>
      </c>
    </row>
    <row r="127" customFormat="false" ht="15" hidden="false" customHeight="false" outlineLevel="0" collapsed="false">
      <c r="A127" s="17" t="n">
        <v>46</v>
      </c>
      <c r="B127" s="5" t="str">
        <f aca="false">IF(NOT(AND(MAX(G127,H127,I127)&gt;0,C126+D126+E126&lt;Total_Beds)),"(stopped)",IF(G127=MAX(G127,H127,I127),"Tomato",IF(H127=MAX(G127,H127,I127),"Carrot","Mesclun")))</f>
        <v>Mesclun</v>
      </c>
      <c r="C127" s="17" t="n">
        <f aca="false">C126+IF(B127="Tomato",1,0)</f>
        <v>9</v>
      </c>
      <c r="D127" s="17" t="n">
        <f aca="false">D126+IF(B127="Carrot",1,0)</f>
        <v>16</v>
      </c>
      <c r="E127" s="17" t="n">
        <f aca="false">E126+IF(B127="Mesclun",1,0)</f>
        <v>21</v>
      </c>
      <c r="F127" s="30" t="n">
        <f aca="false">F126+IF(B127="Tomato",INDEX(C5:C24,C126+1),IF(B127="Carrot",INDEX(J5:J24,D126+1),IF(B127="Mesclun",INDEX(Q5:Q34,E126+1),0)))</f>
        <v>3849.16957639124</v>
      </c>
      <c r="G127" s="31" t="n">
        <f aca="false">IF(C126&lt;Tomato_Bed_Cap,Tomato_Price-(MAX(0,MIN(F126+INDEX(C5:C24,C126+1),Own_Labor_Hours)-MIN(F126,Own_Labor_Hours))*Farmer_Implied_Wage+(INDEX(C5:C24,C126+1)-MAX(0,MIN(F126+INDEX(C5:C24,C126+1),Own_Labor_Hours)-MIN(F126,Own_Labor_Hours)))*Temp_Wage_Per_Hour+Tomato_Fertilizer_Per_Bed),-1E+018)</f>
        <v>551.413465624995</v>
      </c>
      <c r="H127" s="31" t="n">
        <f aca="false">IF(D126&lt;Carrot_Bed_Cap,Carrot_Price-(MAX(0,MIN(F126+INDEX(J5:J24,D126+1),Own_Labor_Hours)-MIN(F126,Own_Labor_Hours))*Farmer_Implied_Wage+(INDEX(J5:J24,D126+1)-MAX(0,MIN(F126+INDEX(J5:J24,D126+1),Own_Labor_Hours)-MIN(F126,Own_Labor_Hours)))*Temp_Wage_Per_Hour+Carrot_Fertilizer_Per_Bed),-1E+018)</f>
        <v>552.218484665988</v>
      </c>
      <c r="I127" s="31" t="n">
        <f aca="false">IF(E126&lt;Mesclun_Bed_Cap,Mesclun_Price-(MAX(0,MIN(F126+INDEX(Q5:Q34,E126+1),Own_Labor_Hours)-MIN(F126,Own_Labor_Hours))*Farmer_Implied_Wage+(INDEX(Q5:Q34,E126+1)-MAX(0,MIN(F126+INDEX(Q5:Q34,E126+1),Own_Labor_Hours)-MIN(F126,Own_Labor_Hours)))*Temp_Wage_Per_Hour+Mesclun_Fertilizer_Per_Bed),-1E+018)</f>
        <v>555.490621068682</v>
      </c>
    </row>
    <row r="128" customFormat="false" ht="15" hidden="false" customHeight="false" outlineLevel="0" collapsed="false">
      <c r="A128" s="17" t="n">
        <v>47</v>
      </c>
      <c r="B128" s="5" t="str">
        <f aca="false">IF(NOT(AND(MAX(G128,H128,I128)&gt;0,C127+D127+E127&lt;Total_Beds)),"(stopped)",IF(G128=MAX(G128,H128,I128),"Tomato",IF(H128=MAX(G128,H128,I128),"Carrot","Mesclun")))</f>
        <v>Carrot</v>
      </c>
      <c r="C128" s="17" t="n">
        <f aca="false">C127+IF(B128="Tomato",1,0)</f>
        <v>9</v>
      </c>
      <c r="D128" s="17" t="n">
        <f aca="false">D127+IF(B128="Carrot",1,0)</f>
        <v>17</v>
      </c>
      <c r="E128" s="17" t="n">
        <f aca="false">E127+IF(B128="Mesclun",1,0)</f>
        <v>21</v>
      </c>
      <c r="F128" s="30" t="n">
        <f aca="false">F127+IF(B128="Tomato",INDEX(C5:C24,C127+1),IF(B128="Carrot",INDEX(J5:J24,D127+1),IF(B128="Mesclun",INDEX(Q5:Q34,E127+1),0)))</f>
        <v>3912.63219167448</v>
      </c>
      <c r="G128" s="31" t="n">
        <f aca="false">IF(C127&lt;Tomato_Bed_Cap,Tomato_Price-(MAX(0,MIN(F127+INDEX(C5:C24,C127+1),Own_Labor_Hours)-MIN(F127,Own_Labor_Hours))*Farmer_Implied_Wage+(INDEX(C5:C24,C127+1)-MAX(0,MIN(F127+INDEX(C5:C24,C127+1),Own_Labor_Hours)-MIN(F127,Own_Labor_Hours)))*Temp_Wage_Per_Hour+Tomato_Fertilizer_Per_Bed),-1E+018)</f>
        <v>551.413465624995</v>
      </c>
      <c r="H128" s="31" t="n">
        <f aca="false">IF(D127&lt;Carrot_Bed_Cap,Carrot_Price-(MAX(0,MIN(F127+INDEX(J5:J24,D127+1),Own_Labor_Hours)-MIN(F127,Own_Labor_Hours))*Farmer_Implied_Wage+(INDEX(J5:J24,D127+1)-MAX(0,MIN(F127+INDEX(J5:J24,D127+1),Own_Labor_Hours)-MIN(F127,Own_Labor_Hours)))*Temp_Wage_Per_Hour+Carrot_Fertilizer_Per_Bed),-1E+018)</f>
        <v>552.218484665988</v>
      </c>
      <c r="I128" s="31" t="n">
        <f aca="false">IF(E127&lt;Mesclun_Bed_Cap,Mesclun_Price-(MAX(0,MIN(F127+INDEX(Q5:Q34,E127+1),Own_Labor_Hours)-MIN(F127,Own_Labor_Hours))*Farmer_Implied_Wage+(INDEX(Q5:Q34,E127+1)-MAX(0,MIN(F127+INDEX(Q5:Q34,E127+1),Own_Labor_Hours)-MIN(F127,Own_Labor_Hours)))*Temp_Wage_Per_Hour+Mesclun_Fertilizer_Per_Bed),-1E+018)</f>
        <v>527.007860305625</v>
      </c>
    </row>
    <row r="129" customFormat="false" ht="15" hidden="false" customHeight="false" outlineLevel="0" collapsed="false">
      <c r="A129" s="17" t="n">
        <v>48</v>
      </c>
      <c r="B129" s="5" t="str">
        <f aca="false">IF(NOT(AND(MAX(G129,H129,I129)&gt;0,C128+D128+E128&lt;Total_Beds)),"(stopped)",IF(G129=MAX(G129,H129,I129),"Tomato",IF(H129=MAX(G129,H129,I129),"Carrot","Mesclun")))</f>
        <v>Tomato</v>
      </c>
      <c r="C129" s="17" t="n">
        <f aca="false">C128+IF(B129="Tomato",1,0)</f>
        <v>10</v>
      </c>
      <c r="D129" s="17" t="n">
        <f aca="false">D128+IF(B129="Carrot",1,0)</f>
        <v>17</v>
      </c>
      <c r="E129" s="17" t="n">
        <f aca="false">E128+IF(B129="Mesclun",1,0)</f>
        <v>21</v>
      </c>
      <c r="F129" s="30" t="n">
        <f aca="false">F128+IF(B129="Tomato",INDEX(C5:C24,C128+1),IF(B129="Carrot",INDEX(J5:J24,D128+1),IF(B129="Mesclun",INDEX(Q5:Q34,E128+1),0)))</f>
        <v>4337.06277605448</v>
      </c>
      <c r="G129" s="31" t="n">
        <f aca="false">IF(C128&lt;Tomato_Bed_Cap,Tomato_Price-(MAX(0,MIN(F128+INDEX(C5:C24,C128+1),Own_Labor_Hours)-MIN(F128,Own_Labor_Hours))*Farmer_Implied_Wage+(INDEX(C5:C24,C128+1)-MAX(0,MIN(F128+INDEX(C5:C24,C128+1),Own_Labor_Hours)-MIN(F128,Own_Labor_Hours)))*Temp_Wage_Per_Hour+Tomato_Fertilizer_Per_Bed),-1E+018)</f>
        <v>551.413465624995</v>
      </c>
      <c r="H129" s="31" t="n">
        <f aca="false">IF(D128&lt;Carrot_Bed_Cap,Carrot_Price-(MAX(0,MIN(F128+INDEX(J5:J24,D128+1),Own_Labor_Hours)-MIN(F128,Own_Labor_Hours))*Farmer_Implied_Wage+(INDEX(J5:J24,D128+1)-MAX(0,MIN(F128+INDEX(J5:J24,D128+1),Own_Labor_Hours)-MIN(F128,Own_Labor_Hours)))*Temp_Wage_Per_Hour+Carrot_Fertilizer_Per_Bed),-1E+018)</f>
        <v>504.861209006899</v>
      </c>
      <c r="I129" s="31" t="n">
        <f aca="false">IF(E128&lt;Mesclun_Bed_Cap,Mesclun_Price-(MAX(0,MIN(F128+INDEX(Q5:Q34,E128+1),Own_Labor_Hours)-MIN(F128,Own_Labor_Hours))*Farmer_Implied_Wage+(INDEX(Q5:Q34,E128+1)-MAX(0,MIN(F128+INDEX(Q5:Q34,E128+1),Own_Labor_Hours)-MIN(F128,Own_Labor_Hours)))*Temp_Wage_Per_Hour+Mesclun_Fertilizer_Per_Bed),-1E+018)</f>
        <v>527.007860305625</v>
      </c>
    </row>
    <row r="130" customFormat="false" ht="15" hidden="false" customHeight="false" outlineLevel="0" collapsed="false">
      <c r="A130" s="17" t="n">
        <v>49</v>
      </c>
      <c r="B130" s="5" t="str">
        <f aca="false">IF(NOT(AND(MAX(G130,H130,I130)&gt;0,C129+D129+E129&lt;Total_Beds)),"(stopped)",IF(G130=MAX(G130,H130,I130),"Tomato",IF(H130=MAX(G130,H130,I130),"Carrot","Mesclun")))</f>
        <v>Mesclun</v>
      </c>
      <c r="C130" s="17" t="n">
        <f aca="false">C129+IF(B130="Tomato",1,0)</f>
        <v>10</v>
      </c>
      <c r="D130" s="17" t="n">
        <f aca="false">D129+IF(B130="Carrot",1,0)</f>
        <v>17</v>
      </c>
      <c r="E130" s="17" t="n">
        <f aca="false">E129+IF(B130="Mesclun",1,0)</f>
        <v>22</v>
      </c>
      <c r="F130" s="30" t="n">
        <f aca="false">F129+IF(B130="Tomato",INDEX(C5:C24,C129+1),IF(B130="Carrot",INDEX(J5:J24,D129+1),IF(B130="Mesclun",INDEX(Q5:Q34,E129+1),0)))</f>
        <v>4411.53912330088</v>
      </c>
      <c r="G130" s="31" t="n">
        <f aca="false">IF(C129&lt;Tomato_Bed_Cap,Tomato_Price-(MAX(0,MIN(F129+INDEX(C5:C24,C129+1),Own_Labor_Hours)-MIN(F129,Own_Labor_Hours))*Farmer_Implied_Wage+(INDEX(C5:C24,C129+1)-MAX(0,MIN(F129+INDEX(C5:C24,C129+1),Own_Labor_Hours)-MIN(F129,Own_Labor_Hours)))*Temp_Wage_Per_Hour+Tomato_Fertilizer_Per_Bed),-1E+018)</f>
        <v>-590.717447203133</v>
      </c>
      <c r="H130" s="31" t="n">
        <f aca="false">IF(D129&lt;Carrot_Bed_Cap,Carrot_Price-(MAX(0,MIN(F129+INDEX(J5:J24,D129+1),Own_Labor_Hours)-MIN(F129,Own_Labor_Hours))*Farmer_Implied_Wage+(INDEX(J5:J24,D129+1)-MAX(0,MIN(F129+INDEX(J5:J24,D129+1),Own_Labor_Hours)-MIN(F129,Own_Labor_Hours)))*Temp_Wage_Per_Hour+Carrot_Fertilizer_Per_Bed),-1E+018)</f>
        <v>504.861209006899</v>
      </c>
      <c r="I130" s="31" t="n">
        <f aca="false">IF(E129&lt;Mesclun_Bed_Cap,Mesclun_Price-(MAX(0,MIN(F129+INDEX(Q5:Q34,E129+1),Own_Labor_Hours)-MIN(F129,Own_Labor_Hours))*Farmer_Implied_Wage+(INDEX(Q5:Q34,E129+1)-MAX(0,MIN(F129+INDEX(Q5:Q34,E129+1),Own_Labor_Hours)-MIN(F129,Own_Labor_Hours)))*Temp_Wage_Per_Hour+Mesclun_Fertilizer_Per_Bed),-1E+018)</f>
        <v>527.007860305625</v>
      </c>
    </row>
    <row r="131" customFormat="false" ht="15" hidden="false" customHeight="false" outlineLevel="0" collapsed="false">
      <c r="A131" s="17" t="n">
        <v>50</v>
      </c>
      <c r="B131" s="5" t="str">
        <f aca="false">IF(NOT(AND(MAX(G131,H131,I131)&gt;0,C130+D130+E130&lt;Total_Beds)),"(stopped)",IF(G131=MAX(G131,H131,I131),"Tomato",IF(H131=MAX(G131,H131,I131),"Carrot","Mesclun")))</f>
        <v>Carrot</v>
      </c>
      <c r="C131" s="17" t="n">
        <f aca="false">C130+IF(B131="Tomato",1,0)</f>
        <v>10</v>
      </c>
      <c r="D131" s="17" t="n">
        <f aca="false">D130+IF(B131="Carrot",1,0)</f>
        <v>18</v>
      </c>
      <c r="E131" s="17" t="n">
        <f aca="false">E130+IF(B131="Mesclun",1,0)</f>
        <v>22</v>
      </c>
      <c r="F131" s="30" t="n">
        <f aca="false">F130+IF(B131="Tomato",INDEX(C5:C24,C130+1),IF(B131="Carrot",INDEX(J5:J24,D130+1),IF(B131="Mesclun",INDEX(Q5:Q34,E130+1),0)))</f>
        <v>4477.72951766208</v>
      </c>
      <c r="G131" s="31" t="n">
        <f aca="false">IF(C130&lt;Tomato_Bed_Cap,Tomato_Price-(MAX(0,MIN(F130+INDEX(C5:C24,C130+1),Own_Labor_Hours)-MIN(F130,Own_Labor_Hours))*Farmer_Implied_Wage+(INDEX(C5:C24,C130+1)-MAX(0,MIN(F130+INDEX(C5:C24,C130+1),Own_Labor_Hours)-MIN(F130,Own_Labor_Hours)))*Temp_Wage_Per_Hour+Tomato_Fertilizer_Per_Bed),-1E+018)</f>
        <v>-590.717447203133</v>
      </c>
      <c r="H131" s="31" t="n">
        <f aca="false">IF(D130&lt;Carrot_Bed_Cap,Carrot_Price-(MAX(0,MIN(F130+INDEX(J5:J24,D130+1),Own_Labor_Hours)-MIN(F130,Own_Labor_Hours))*Farmer_Implied_Wage+(INDEX(J5:J24,D130+1)-MAX(0,MIN(F130+INDEX(J5:J24,D130+1),Own_Labor_Hours)-MIN(F130,Own_Labor_Hours)))*Temp_Wage_Per_Hour+Carrot_Fertilizer_Per_Bed),-1E+018)</f>
        <v>504.861209006899</v>
      </c>
      <c r="I131" s="31" t="n">
        <f aca="false">IF(E130&lt;Mesclun_Bed_Cap,Mesclun_Price-(MAX(0,MIN(F130+INDEX(Q5:Q34,E130+1),Own_Labor_Hours)-MIN(F130,Own_Labor_Hours))*Farmer_Implied_Wage+(INDEX(Q5:Q34,E130+1)-MAX(0,MIN(F130+INDEX(Q5:Q34,E130+1),Own_Labor_Hours)-MIN(F130,Own_Labor_Hours)))*Temp_Wage_Per_Hour+Mesclun_Fertilizer_Per_Bed),-1E+018)</f>
        <v>498.010610113951</v>
      </c>
    </row>
    <row r="132" customFormat="false" ht="15" hidden="false" customHeight="false" outlineLevel="0" collapsed="false">
      <c r="A132" s="17" t="n">
        <v>51</v>
      </c>
      <c r="B132" s="5" t="str">
        <f aca="false">IF(NOT(AND(MAX(G132,H132,I132)&gt;0,C131+D131+E131&lt;Total_Beds)),"(stopped)",IF(G132=MAX(G132,H132,I132),"Tomato",IF(H132=MAX(G132,H132,I132),"Carrot","Mesclun")))</f>
        <v>Mesclun</v>
      </c>
      <c r="C132" s="17" t="n">
        <f aca="false">C131+IF(B132="Tomato",1,0)</f>
        <v>10</v>
      </c>
      <c r="D132" s="17" t="n">
        <f aca="false">D131+IF(B132="Carrot",1,0)</f>
        <v>18</v>
      </c>
      <c r="E132" s="17" t="n">
        <f aca="false">E131+IF(B132="Mesclun",1,0)</f>
        <v>23</v>
      </c>
      <c r="F132" s="30" t="n">
        <f aca="false">F131+IF(B132="Tomato",INDEX(C5:C24,C131+1),IF(B132="Carrot",INDEX(J5:J24,D131+1),IF(B132="Mesclun",INDEX(Q5:Q34,E131+1),0)))</f>
        <v>4553.87610651952</v>
      </c>
      <c r="G132" s="31" t="n">
        <f aca="false">IF(C131&lt;Tomato_Bed_Cap,Tomato_Price-(MAX(0,MIN(F131+INDEX(C5:C24,C131+1),Own_Labor_Hours)-MIN(F131,Own_Labor_Hours))*Farmer_Implied_Wage+(INDEX(C5:C24,C131+1)-MAX(0,MIN(F131+INDEX(C5:C24,C131+1),Own_Labor_Hours)-MIN(F131,Own_Labor_Hours)))*Temp_Wage_Per_Hour+Tomato_Fertilizer_Per_Bed),-1E+018)</f>
        <v>-590.717447203133</v>
      </c>
      <c r="H132" s="31" t="n">
        <f aca="false">IF(D131&lt;Carrot_Bed_Cap,Carrot_Price-(MAX(0,MIN(F131+INDEX(J5:J24,D131+1),Own_Labor_Hours)-MIN(F131,Own_Labor_Hours))*Farmer_Implied_Wage+(INDEX(J5:J24,D131+1)-MAX(0,MIN(F131+INDEX(J5:J24,D131+1),Own_Labor_Hours)-MIN(F131,Own_Labor_Hours)))*Temp_Wage_Per_Hour+Carrot_Fertilizer_Per_Bed),-1E+018)</f>
        <v>455.824683011934</v>
      </c>
      <c r="I132" s="31" t="n">
        <f aca="false">IF(E131&lt;Mesclun_Bed_Cap,Mesclun_Price-(MAX(0,MIN(F131+INDEX(Q5:Q34,E131+1),Own_Labor_Hours)-MIN(F131,Own_Labor_Hours))*Farmer_Implied_Wage+(INDEX(Q5:Q34,E131+1)-MAX(0,MIN(F131+INDEX(Q5:Q34,E131+1),Own_Labor_Hours)-MIN(F131,Own_Labor_Hours)))*Temp_Wage_Per_Hour+Mesclun_Fertilizer_Per_Bed),-1E+018)</f>
        <v>498.010610113951</v>
      </c>
    </row>
    <row r="133" customFormat="false" ht="15" hidden="false" customHeight="false" outlineLevel="0" collapsed="false">
      <c r="A133" s="17" t="n">
        <v>52</v>
      </c>
      <c r="B133" s="5" t="str">
        <f aca="false">IF(NOT(AND(MAX(G133,H133,I133)&gt;0,C132+D132+E132&lt;Total_Beds)),"(stopped)",IF(G133=MAX(G133,H133,I133),"Tomato",IF(H133=MAX(G133,H133,I133),"Carrot","Mesclun")))</f>
        <v>Mesclun</v>
      </c>
      <c r="C133" s="17" t="n">
        <f aca="false">C132+IF(B133="Tomato",1,0)</f>
        <v>10</v>
      </c>
      <c r="D133" s="17" t="n">
        <f aca="false">D132+IF(B133="Carrot",1,0)</f>
        <v>18</v>
      </c>
      <c r="E133" s="17" t="n">
        <f aca="false">E132+IF(B133="Mesclun",1,0)</f>
        <v>24</v>
      </c>
      <c r="F133" s="30" t="n">
        <f aca="false">F132+IF(B133="Tomato",INDEX(C5:C24,C132+1),IF(B133="Carrot",INDEX(J5:J24,D132+1),IF(B133="Mesclun",INDEX(Q5:Q34,E132+1),0)))</f>
        <v>4631.72305609901</v>
      </c>
      <c r="G133" s="31" t="n">
        <f aca="false">IF(C132&lt;Tomato_Bed_Cap,Tomato_Price-(MAX(0,MIN(F132+INDEX(C5:C24,C132+1),Own_Labor_Hours)-MIN(F132,Own_Labor_Hours))*Farmer_Implied_Wage+(INDEX(C5:C24,C132+1)-MAX(0,MIN(F132+INDEX(C5:C24,C132+1),Own_Labor_Hours)-MIN(F132,Own_Labor_Hours)))*Temp_Wage_Per_Hour+Tomato_Fertilizer_Per_Bed),-1E+018)</f>
        <v>-590.717447203133</v>
      </c>
      <c r="H133" s="31" t="n">
        <f aca="false">IF(D132&lt;Carrot_Bed_Cap,Carrot_Price-(MAX(0,MIN(F132+INDEX(J5:J24,D132+1),Own_Labor_Hours)-MIN(F132,Own_Labor_Hours))*Farmer_Implied_Wage+(INDEX(J5:J24,D132+1)-MAX(0,MIN(F132+INDEX(J5:J24,D132+1),Own_Labor_Hours)-MIN(F132,Own_Labor_Hours)))*Temp_Wage_Per_Hour+Carrot_Fertilizer_Per_Bed),-1E+018)</f>
        <v>455.824683011934</v>
      </c>
      <c r="I133" s="31" t="n">
        <f aca="false">IF(E132&lt;Mesclun_Bed_Cap,Mesclun_Price-(MAX(0,MIN(F132+INDEX(Q5:Q34,E132+1),Own_Labor_Hours)-MIN(F132,Own_Labor_Hours))*Farmer_Implied_Wage+(INDEX(Q5:Q34,E132+1)-MAX(0,MIN(F132+INDEX(Q5:Q34,E132+1),Own_Labor_Hours)-MIN(F132,Own_Labor_Hours)))*Temp_Wage_Per_Hour+Mesclun_Fertilizer_Per_Bed),-1E+018)</f>
        <v>468.490458689311</v>
      </c>
    </row>
    <row r="134" customFormat="false" ht="15" hidden="false" customHeight="false" outlineLevel="0" collapsed="false">
      <c r="A134" s="17" t="n">
        <v>53</v>
      </c>
      <c r="B134" s="5" t="str">
        <f aca="false">IF(NOT(AND(MAX(G134,H134,I134)&gt;0,C133+D133+E133&lt;Total_Beds)),"(stopped)",IF(G134=MAX(G134,H134,I134),"Tomato",IF(H134=MAX(G134,H134,I134),"Carrot","Mesclun")))</f>
        <v>Carrot</v>
      </c>
      <c r="C134" s="17" t="n">
        <f aca="false">C133+IF(B134="Tomato",1,0)</f>
        <v>10</v>
      </c>
      <c r="D134" s="17" t="n">
        <f aca="false">D133+IF(B134="Carrot",1,0)</f>
        <v>19</v>
      </c>
      <c r="E134" s="17" t="n">
        <f aca="false">E133+IF(B134="Mesclun",1,0)</f>
        <v>24</v>
      </c>
      <c r="F134" s="30" t="n">
        <f aca="false">F133+IF(B134="Tomato",INDEX(C5:C24,C133+1),IF(B134="Carrot",INDEX(J5:J24,D133+1),IF(B134="Mesclun",INDEX(Q5:Q34,E133+1),0)))</f>
        <v>4700.73795435752</v>
      </c>
      <c r="G134" s="31" t="n">
        <f aca="false">IF(C133&lt;Tomato_Bed_Cap,Tomato_Price-(MAX(0,MIN(F133+INDEX(C5:C24,C133+1),Own_Labor_Hours)-MIN(F133,Own_Labor_Hours))*Farmer_Implied_Wage+(INDEX(C5:C24,C133+1)-MAX(0,MIN(F133+INDEX(C5:C24,C133+1),Own_Labor_Hours)-MIN(F133,Own_Labor_Hours)))*Temp_Wage_Per_Hour+Tomato_Fertilizer_Per_Bed),-1E+018)</f>
        <v>-590.717447203133</v>
      </c>
      <c r="H134" s="31" t="n">
        <f aca="false">IF(D133&lt;Carrot_Bed_Cap,Carrot_Price-(MAX(0,MIN(F133+INDEX(J5:J24,D133+1),Own_Labor_Hours)-MIN(F133,Own_Labor_Hours))*Farmer_Implied_Wage+(INDEX(J5:J24,D133+1)-MAX(0,MIN(F133+INDEX(J5:J24,D133+1),Own_Labor_Hours)-MIN(F133,Own_Labor_Hours)))*Temp_Wage_Per_Hour+Carrot_Fertilizer_Per_Bed),-1E+018)</f>
        <v>455.824683011934</v>
      </c>
      <c r="I134" s="31" t="n">
        <f aca="false">IF(E133&lt;Mesclun_Bed_Cap,Mesclun_Price-(MAX(0,MIN(F133+INDEX(Q5:Q34,E133+1),Own_Labor_Hours)-MIN(F133,Own_Labor_Hours))*Farmer_Implied_Wage+(INDEX(Q5:Q34,E133+1)-MAX(0,MIN(F133+INDEX(Q5:Q34,E133+1),Own_Labor_Hours)-MIN(F133,Own_Labor_Hours)))*Temp_Wage_Per_Hour+Mesclun_Fertilizer_Per_Bed),-1E+018)</f>
        <v>438.438864321223</v>
      </c>
    </row>
    <row r="135" customFormat="false" ht="15" hidden="false" customHeight="false" outlineLevel="0" collapsed="false">
      <c r="A135" s="17" t="n">
        <v>54</v>
      </c>
      <c r="B135" s="5" t="str">
        <f aca="false">IF(NOT(AND(MAX(G135,H135,I135)&gt;0,C134+D134+E134&lt;Total_Beds)),"(stopped)",IF(G135=MAX(G135,H135,I135),"Tomato",IF(H135=MAX(G135,H135,I135),"Carrot","Mesclun")))</f>
        <v>Mesclun</v>
      </c>
      <c r="C135" s="17" t="n">
        <f aca="false">C134+IF(B135="Tomato",1,0)</f>
        <v>10</v>
      </c>
      <c r="D135" s="17" t="n">
        <f aca="false">D134+IF(B135="Carrot",1,0)</f>
        <v>19</v>
      </c>
      <c r="E135" s="17" t="n">
        <f aca="false">E134+IF(B135="Mesclun",1,0)</f>
        <v>25</v>
      </c>
      <c r="F135" s="30" t="n">
        <f aca="false">F134+IF(B135="Tomato",INDEX(C5:C24,C134+1),IF(B135="Carrot",INDEX(J5:J24,D134+1),IF(B135="Mesclun",INDEX(Q5:Q34,E134+1),0)))</f>
        <v>4780.31587577262</v>
      </c>
      <c r="G135" s="31" t="n">
        <f aca="false">IF(C134&lt;Tomato_Bed_Cap,Tomato_Price-(MAX(0,MIN(F134+INDEX(C5:C24,C134+1),Own_Labor_Hours)-MIN(F134,Own_Labor_Hours))*Farmer_Implied_Wage+(INDEX(C5:C24,C134+1)-MAX(0,MIN(F134+INDEX(C5:C24,C134+1),Own_Labor_Hours)-MIN(F134,Own_Labor_Hours)))*Temp_Wage_Per_Hour+Tomato_Fertilizer_Per_Bed),-1E+018)</f>
        <v>-590.717447203133</v>
      </c>
      <c r="H135" s="31" t="n">
        <f aca="false">IF(D134&lt;Carrot_Bed_Cap,Carrot_Price-(MAX(0,MIN(F134+INDEX(J5:J24,D134+1),Own_Labor_Hours)-MIN(F134,Own_Labor_Hours))*Farmer_Implied_Wage+(INDEX(J5:J24,D134+1)-MAX(0,MIN(F134+INDEX(J5:J24,D134+1),Own_Labor_Hours)-MIN(F134,Own_Labor_Hours)))*Temp_Wage_Per_Hour+Carrot_Fertilizer_Per_Bed),-1E+018)</f>
        <v>405.054542461591</v>
      </c>
      <c r="I135" s="31" t="n">
        <f aca="false">IF(E134&lt;Mesclun_Bed_Cap,Mesclun_Price-(MAX(0,MIN(F134+INDEX(Q5:Q34,E134+1),Own_Labor_Hours)-MIN(F134,Own_Labor_Hours))*Farmer_Implied_Wage+(INDEX(Q5:Q34,E134+1)-MAX(0,MIN(F134+INDEX(Q5:Q34,E134+1),Own_Labor_Hours)-MIN(F134,Own_Labor_Hours)))*Temp_Wage_Per_Hour+Mesclun_Fertilizer_Per_Bed),-1E+018)</f>
        <v>438.438864321223</v>
      </c>
    </row>
    <row r="136" customFormat="false" ht="15" hidden="false" customHeight="false" outlineLevel="0" collapsed="false">
      <c r="A136" s="17" t="n">
        <v>55</v>
      </c>
      <c r="B136" s="5" t="str">
        <f aca="false">IF(NOT(AND(MAX(G136,H136,I136)&gt;0,C135+D135+E135&lt;Total_Beds)),"(stopped)",IF(G136=MAX(G136,H136,I136),"Tomato",IF(H136=MAX(G136,H136,I136),"Carrot","Mesclun")))</f>
        <v>Mesclun</v>
      </c>
      <c r="C136" s="17" t="n">
        <f aca="false">C135+IF(B136="Tomato",1,0)</f>
        <v>10</v>
      </c>
      <c r="D136" s="17" t="n">
        <f aca="false">D135+IF(B136="Carrot",1,0)</f>
        <v>19</v>
      </c>
      <c r="E136" s="17" t="n">
        <f aca="false">E135+IF(B136="Mesclun",1,0)</f>
        <v>26</v>
      </c>
      <c r="F136" s="30" t="n">
        <f aca="false">F135+IF(B136="Tomato",INDEX(C5:C24,C135+1),IF(B136="Carrot",INDEX(J5:J24,D135+1),IF(B136="Mesclun",INDEX(Q5:Q34,E135+1),0)))</f>
        <v>4861.65587973334</v>
      </c>
      <c r="G136" s="31" t="n">
        <f aca="false">IF(C135&lt;Tomato_Bed_Cap,Tomato_Price-(MAX(0,MIN(F135+INDEX(C5:C24,C135+1),Own_Labor_Hours)-MIN(F135,Own_Labor_Hours))*Farmer_Implied_Wage+(INDEX(C5:C24,C135+1)-MAX(0,MIN(F135+INDEX(C5:C24,C135+1),Own_Labor_Hours)-MIN(F135,Own_Labor_Hours)))*Temp_Wage_Per_Hour+Tomato_Fertilizer_Per_Bed),-1E+018)</f>
        <v>-590.717447203133</v>
      </c>
      <c r="H136" s="31" t="n">
        <f aca="false">IF(D135&lt;Carrot_Bed_Cap,Carrot_Price-(MAX(0,MIN(F135+INDEX(J5:J24,D135+1),Own_Labor_Hours)-MIN(F135,Own_Labor_Hours))*Farmer_Implied_Wage+(INDEX(J5:J24,D135+1)-MAX(0,MIN(F135+INDEX(J5:J24,D135+1),Own_Labor_Hours)-MIN(F135,Own_Labor_Hours)))*Temp_Wage_Per_Hour+Carrot_Fertilizer_Per_Bed),-1E+018)</f>
        <v>405.054542461591</v>
      </c>
      <c r="I136" s="31" t="n">
        <f aca="false">IF(E135&lt;Mesclun_Bed_Cap,Mesclun_Price-(MAX(0,MIN(F135+INDEX(Q5:Q34,E135+1),Own_Labor_Hours)-MIN(F135,Own_Labor_Hours))*Farmer_Implied_Wage+(INDEX(Q5:Q34,E135+1)-MAX(0,MIN(F135+INDEX(Q5:Q34,E135+1),Own_Labor_Hours)-MIN(F135,Own_Labor_Hours)))*Temp_Wage_Per_Hour+Mesclun_Fertilizer_Per_Bed),-1E+018)</f>
        <v>407.84715345977</v>
      </c>
    </row>
    <row r="137" customFormat="false" ht="15" hidden="false" customHeight="false" outlineLevel="0" collapsed="false">
      <c r="A137" s="17" t="n">
        <v>56</v>
      </c>
      <c r="B137" s="5" t="str">
        <f aca="false">IF(NOT(AND(MAX(G137,H137,I137)&gt;0,C136+D136+E136&lt;Total_Beds)),"(stopped)",IF(G137=MAX(G137,H137,I137),"Tomato",IF(H137=MAX(G137,H137,I137),"Carrot","Mesclun")))</f>
        <v>Carrot</v>
      </c>
      <c r="C137" s="17" t="n">
        <f aca="false">C136+IF(B137="Tomato",1,0)</f>
        <v>10</v>
      </c>
      <c r="D137" s="17" t="n">
        <f aca="false">D136+IF(B137="Carrot",1,0)</f>
        <v>20</v>
      </c>
      <c r="E137" s="17" t="n">
        <f aca="false">E136+IF(B137="Mesclun",1,0)</f>
        <v>26</v>
      </c>
      <c r="F137" s="30" t="n">
        <f aca="false">F136+IF(B137="Tomato",INDEX(C5:C24,C136+1),IF(B137="Carrot",INDEX(J5:J24,D136+1),IF(B137="Mesclun",INDEX(Q5:Q34,E136+1),0)))</f>
        <v>4933.59513808755</v>
      </c>
      <c r="G137" s="31" t="n">
        <f aca="false">IF(C136&lt;Tomato_Bed_Cap,Tomato_Price-(MAX(0,MIN(F136+INDEX(C5:C24,C136+1),Own_Labor_Hours)-MIN(F136,Own_Labor_Hours))*Farmer_Implied_Wage+(INDEX(C5:C24,C136+1)-MAX(0,MIN(F136+INDEX(C5:C24,C136+1),Own_Labor_Hours)-MIN(F136,Own_Labor_Hours)))*Temp_Wage_Per_Hour+Tomato_Fertilizer_Per_Bed),-1E+018)</f>
        <v>-590.717447203133</v>
      </c>
      <c r="H137" s="31" t="n">
        <f aca="false">IF(D136&lt;Carrot_Bed_Cap,Carrot_Price-(MAX(0,MIN(F136+INDEX(J5:J24,D136+1),Own_Labor_Hours)-MIN(F136,Own_Labor_Hours))*Farmer_Implied_Wage+(INDEX(J5:J24,D136+1)-MAX(0,MIN(F136+INDEX(J5:J24,D136+1),Own_Labor_Hours)-MIN(F136,Own_Labor_Hours)))*Temp_Wage_Per_Hour+Carrot_Fertilizer_Per_Bed),-1E+018)</f>
        <v>405.054542461591</v>
      </c>
      <c r="I137" s="31" t="n">
        <f aca="false">IF(E136&lt;Mesclun_Bed_Cap,Mesclun_Price-(MAX(0,MIN(F136+INDEX(Q5:Q34,E136+1),Own_Labor_Hours)-MIN(F136,Own_Labor_Hours))*Farmer_Implied_Wage+(INDEX(Q5:Q34,E136+1)-MAX(0,MIN(F136+INDEX(Q5:Q34,E136+1),Own_Labor_Hours)-MIN(F136,Own_Labor_Hours)))*Temp_Wage_Per_Hour+Mesclun_Fertilizer_Per_Bed),-1E+018)</f>
        <v>376.706518754215</v>
      </c>
    </row>
    <row r="138" customFormat="false" ht="15" hidden="false" customHeight="false" outlineLevel="0" collapsed="false">
      <c r="A138" s="17" t="n">
        <v>57</v>
      </c>
      <c r="B138" s="5" t="str">
        <f aca="false">IF(NOT(AND(MAX(G138,H138,I138)&gt;0,C137+D137+E137&lt;Total_Beds)),"(stopped)",IF(G138=MAX(G138,H138,I138),"Tomato",IF(H138=MAX(G138,H138,I138),"Carrot","Mesclun")))</f>
        <v>Mesclun</v>
      </c>
      <c r="C138" s="17" t="n">
        <f aca="false">C137+IF(B138="Tomato",1,0)</f>
        <v>10</v>
      </c>
      <c r="D138" s="17" t="n">
        <f aca="false">D137+IF(B138="Carrot",1,0)</f>
        <v>20</v>
      </c>
      <c r="E138" s="17" t="n">
        <f aca="false">E137+IF(B138="Mesclun",1,0)</f>
        <v>27</v>
      </c>
      <c r="F138" s="30" t="n">
        <f aca="false">F137+IF(B138="Tomato",INDEX(C5:C24,C137+1),IF(B138="Carrot",INDEX(J5:J24,D137+1),IF(B138="Mesclun",INDEX(Q5:Q34,E137+1),0)))</f>
        <v>5016.72884260731</v>
      </c>
      <c r="G138" s="31" t="n">
        <f aca="false">IF(C137&lt;Tomato_Bed_Cap,Tomato_Price-(MAX(0,MIN(F137+INDEX(C5:C24,C137+1),Own_Labor_Hours)-MIN(F137,Own_Labor_Hours))*Farmer_Implied_Wage+(INDEX(C5:C24,C137+1)-MAX(0,MIN(F137+INDEX(C5:C24,C137+1),Own_Labor_Hours)-MIN(F137,Own_Labor_Hours)))*Temp_Wage_Per_Hour+Tomato_Fertilizer_Per_Bed),-1E+018)</f>
        <v>-590.717447203133</v>
      </c>
      <c r="H138" s="31" t="n">
        <f aca="false">IF(D137&lt;Carrot_Bed_Cap,Carrot_Price-(MAX(0,MIN(F137+INDEX(J5:J24,D137+1),Own_Labor_Hours)-MIN(F137,Own_Labor_Hours))*Farmer_Implied_Wage+(INDEX(J5:J24,D137+1)-MAX(0,MIN(F137+INDEX(J5:J24,D137+1),Own_Labor_Hours)-MIN(F137,Own_Labor_Hours)))*Temp_Wage_Per_Hour+Carrot_Fertilizer_Per_Bed),-1E+018)</f>
        <v>-1E+018</v>
      </c>
      <c r="I138" s="31" t="n">
        <f aca="false">IF(E137&lt;Mesclun_Bed_Cap,Mesclun_Price-(MAX(0,MIN(F137+INDEX(Q5:Q34,E137+1),Own_Labor_Hours)-MIN(F137,Own_Labor_Hours))*Farmer_Implied_Wage+(INDEX(Q5:Q34,E137+1)-MAX(0,MIN(F137+INDEX(Q5:Q34,E137+1),Own_Labor_Hours)-MIN(F137,Own_Labor_Hours)))*Temp_Wage_Per_Hour+Mesclun_Fertilizer_Per_Bed),-1E+018)</f>
        <v>376.706518754215</v>
      </c>
    </row>
    <row r="139" customFormat="false" ht="15" hidden="false" customHeight="false" outlineLevel="0" collapsed="false">
      <c r="A139" s="17" t="n">
        <v>58</v>
      </c>
      <c r="B139" s="5" t="str">
        <f aca="false">IF(NOT(AND(MAX(G139,H139,I139)&gt;0,C138+D138+E138&lt;Total_Beds)),"(stopped)",IF(G139=MAX(G139,H139,I139),"Tomato",IF(H139=MAX(G139,H139,I139),"Carrot","Mesclun")))</f>
        <v>Mesclun</v>
      </c>
      <c r="C139" s="17" t="n">
        <f aca="false">C138+IF(B139="Tomato",1,0)</f>
        <v>10</v>
      </c>
      <c r="D139" s="17" t="n">
        <f aca="false">D138+IF(B139="Carrot",1,0)</f>
        <v>20</v>
      </c>
      <c r="E139" s="17" t="n">
        <f aca="false">E138+IF(B139="Mesclun",1,0)</f>
        <v>28</v>
      </c>
      <c r="F139" s="30" t="n">
        <f aca="false">F138+IF(B139="Tomato",INDEX(C5:C24,C138+1),IF(B139="Carrot",INDEX(J5:J24,D138+1),IF(B139="Mesclun",INDEX(Q5:Q34,E138+1),0)))</f>
        <v>5101.68838082446</v>
      </c>
      <c r="G139" s="31" t="n">
        <f aca="false">IF(C138&lt;Tomato_Bed_Cap,Tomato_Price-(MAX(0,MIN(F138+INDEX(C5:C24,C138+1),Own_Labor_Hours)-MIN(F138,Own_Labor_Hours))*Farmer_Implied_Wage+(INDEX(C5:C24,C138+1)-MAX(0,MIN(F138+INDEX(C5:C24,C138+1),Own_Labor_Hours)-MIN(F138,Own_Labor_Hours)))*Temp_Wage_Per_Hour+Tomato_Fertilizer_Per_Bed),-1E+018)</f>
        <v>-590.717447203133</v>
      </c>
      <c r="H139" s="31" t="n">
        <f aca="false">IF(D138&lt;Carrot_Bed_Cap,Carrot_Price-(MAX(0,MIN(F138+INDEX(J5:J24,D138+1),Own_Labor_Hours)-MIN(F138,Own_Labor_Hours))*Farmer_Implied_Wage+(INDEX(J5:J24,D138+1)-MAX(0,MIN(F138+INDEX(J5:J24,D138+1),Own_Labor_Hours)-MIN(F138,Own_Labor_Hours)))*Temp_Wage_Per_Hour+Carrot_Fertilizer_Per_Bed),-1E+018)</f>
        <v>-1E+018</v>
      </c>
      <c r="I139" s="31" t="n">
        <f aca="false">IF(E138&lt;Mesclun_Bed_Cap,Mesclun_Price-(MAX(0,MIN(F138+INDEX(Q5:Q34,E138+1),Own_Labor_Hours)-MIN(F138,Own_Labor_Hours))*Farmer_Implied_Wage+(INDEX(Q5:Q34,E138+1)-MAX(0,MIN(F138+INDEX(Q5:Q34,E138+1),Own_Labor_Hours)-MIN(F138,Own_Labor_Hours)))*Temp_Wage_Per_Hour+Mesclun_Fertilizer_Per_Bed),-1E+018)</f>
        <v>345.008017063311</v>
      </c>
    </row>
    <row r="140" customFormat="false" ht="15" hidden="false" customHeight="false" outlineLevel="0" collapsed="false">
      <c r="A140" s="17" t="n">
        <v>59</v>
      </c>
      <c r="B140" s="5" t="str">
        <f aca="false">IF(NOT(AND(MAX(G140,H140,I140)&gt;0,C139+D139+E139&lt;Total_Beds)),"(stopped)",IF(G140=MAX(G140,H140,I140),"Tomato",IF(H140=MAX(G140,H140,I140),"Carrot","Mesclun")))</f>
        <v>Mesclun</v>
      </c>
      <c r="C140" s="17" t="n">
        <f aca="false">C139+IF(B140="Tomato",1,0)</f>
        <v>10</v>
      </c>
      <c r="D140" s="17" t="n">
        <f aca="false">D139+IF(B140="Carrot",1,0)</f>
        <v>20</v>
      </c>
      <c r="E140" s="17" t="n">
        <f aca="false">E139+IF(B140="Mesclun",1,0)</f>
        <v>29</v>
      </c>
      <c r="F140" s="30" t="n">
        <f aca="false">F139+IF(B140="Tomato",INDEX(C5:C24,C139+1),IF(B140="Carrot",INDEX(J5:J24,D139+1),IF(B140="Mesclun",INDEX(Q5:Q34,E139+1),0)))</f>
        <v>5188.50640894011</v>
      </c>
      <c r="G140" s="31" t="n">
        <f aca="false">IF(C139&lt;Tomato_Bed_Cap,Tomato_Price-(MAX(0,MIN(F139+INDEX(C5:C24,C139+1),Own_Labor_Hours)-MIN(F139,Own_Labor_Hours))*Farmer_Implied_Wage+(INDEX(C5:C24,C139+1)-MAX(0,MIN(F139+INDEX(C5:C24,C139+1),Own_Labor_Hours)-MIN(F139,Own_Labor_Hours)))*Temp_Wage_Per_Hour+Tomato_Fertilizer_Per_Bed),-1E+018)</f>
        <v>-590.717447203133</v>
      </c>
      <c r="H140" s="31" t="n">
        <f aca="false">IF(D139&lt;Carrot_Bed_Cap,Carrot_Price-(MAX(0,MIN(F139+INDEX(J5:J24,D139+1),Own_Labor_Hours)-MIN(F139,Own_Labor_Hours))*Farmer_Implied_Wage+(INDEX(J5:J24,D139+1)-MAX(0,MIN(F139+INDEX(J5:J24,D139+1),Own_Labor_Hours)-MIN(F139,Own_Labor_Hours)))*Temp_Wage_Per_Hour+Carrot_Fertilizer_Per_Bed),-1E+018)</f>
        <v>-1E+018</v>
      </c>
      <c r="I140" s="31" t="n">
        <f aca="false">IF(E139&lt;Mesclun_Bed_Cap,Mesclun_Price-(MAX(0,MIN(F139+INDEX(Q5:Q34,E139+1),Own_Labor_Hours)-MIN(F139,Own_Labor_Hours))*Farmer_Implied_Wage+(INDEX(Q5:Q34,E139+1)-MAX(0,MIN(F139+INDEX(Q5:Q34,E139+1),Own_Labor_Hours)-MIN(F139,Own_Labor_Hours)))*Temp_Wage_Per_Hour+Mesclun_Fertilizer_Per_Bed),-1E+018)</f>
        <v>312.742567436575</v>
      </c>
    </row>
    <row r="141" customFormat="false" ht="15" hidden="false" customHeight="false" outlineLevel="0" collapsed="false">
      <c r="A141" s="17" t="n">
        <v>60</v>
      </c>
      <c r="B141" s="5" t="str">
        <f aca="false">IF(NOT(AND(MAX(G141,H141,I141)&gt;0,C140+D140+E140&lt;Total_Beds)),"(stopped)",IF(G141=MAX(G141,H141,I141),"Tomato",IF(H141=MAX(G141,H141,I141),"Carrot","Mesclun")))</f>
        <v>Mesclun</v>
      </c>
      <c r="C141" s="17" t="n">
        <f aca="false">C140+IF(B141="Tomato",1,0)</f>
        <v>10</v>
      </c>
      <c r="D141" s="17" t="n">
        <f aca="false">D140+IF(B141="Carrot",1,0)</f>
        <v>20</v>
      </c>
      <c r="E141" s="17" t="n">
        <f aca="false">E140+IF(B141="Mesclun",1,0)</f>
        <v>30</v>
      </c>
      <c r="F141" s="30" t="n">
        <f aca="false">F140+IF(B141="Tomato",INDEX(C5:C24,C140+1),IF(B141="Carrot",INDEX(J5:J24,D140+1),IF(B141="Mesclun",INDEX(Q5:Q34,E140+1),0)))</f>
        <v>5277.21611427388</v>
      </c>
      <c r="G141" s="31" t="n">
        <f aca="false">IF(C140&lt;Tomato_Bed_Cap,Tomato_Price-(MAX(0,MIN(F140+INDEX(C5:C24,C140+1),Own_Labor_Hours)-MIN(F140,Own_Labor_Hours))*Farmer_Implied_Wage+(INDEX(C5:C24,C140+1)-MAX(0,MIN(F140+INDEX(C5:C24,C140+1),Own_Labor_Hours)-MIN(F140,Own_Labor_Hours)))*Temp_Wage_Per_Hour+Tomato_Fertilizer_Per_Bed),-1E+018)</f>
        <v>-590.717447203133</v>
      </c>
      <c r="H141" s="31" t="n">
        <f aca="false">IF(D140&lt;Carrot_Bed_Cap,Carrot_Price-(MAX(0,MIN(F140+INDEX(J5:J24,D140+1),Own_Labor_Hours)-MIN(F140,Own_Labor_Hours))*Farmer_Implied_Wage+(INDEX(J5:J24,D140+1)-MAX(0,MIN(F140+INDEX(J5:J24,D140+1),Own_Labor_Hours)-MIN(F140,Own_Labor_Hours)))*Temp_Wage_Per_Hour+Carrot_Fertilizer_Per_Bed),-1E+018)</f>
        <v>-1E+018</v>
      </c>
      <c r="I141" s="31" t="n">
        <f aca="false">IF(E140&lt;Mesclun_Bed_Cap,Mesclun_Price-(MAX(0,MIN(F140+INDEX(Q5:Q34,E140+1),Own_Labor_Hours)-MIN(F140,Own_Labor_Hours))*Farmer_Implied_Wage+(INDEX(Q5:Q34,E140+1)-MAX(0,MIN(F140+INDEX(Q5:Q34,E140+1),Own_Labor_Hours)-MIN(F140,Own_Labor_Hours)))*Temp_Wage_Per_Hour+Mesclun_Fertilizer_Per_Bed),-1E+018)</f>
        <v>279.900949066493</v>
      </c>
    </row>
    <row r="142" customFormat="false" ht="15" hidden="false" customHeight="false" outlineLevel="0" collapsed="false">
      <c r="A142" s="17" t="n">
        <v>61</v>
      </c>
      <c r="B142" s="5" t="str">
        <f aca="false">IF(NOT(AND(MAX(G142,H142,I142)&gt;0,C141+D141+E141&lt;Total_Beds)),"(stopped)",IF(G142=MAX(G142,H142,I142),"Tomato",IF(H142=MAX(G142,H142,I142),"Carrot","Mesclun")))</f>
        <v>(stopped)</v>
      </c>
      <c r="C142" s="17" t="n">
        <f aca="false">C141+IF(B142="Tomato",1,0)</f>
        <v>10</v>
      </c>
      <c r="D142" s="17" t="n">
        <f aca="false">D141+IF(B142="Carrot",1,0)</f>
        <v>20</v>
      </c>
      <c r="E142" s="17" t="n">
        <f aca="false">E141+IF(B142="Mesclun",1,0)</f>
        <v>30</v>
      </c>
      <c r="F142" s="30" t="n">
        <f aca="false">F141+IF(B142="Tomato",INDEX(C5:C24,C141+1),IF(B142="Carrot",INDEX(J5:J24,D141+1),IF(B142="Mesclun",INDEX(Q5:Q34,E141+1),0)))</f>
        <v>5277.21611427388</v>
      </c>
      <c r="G142" s="31" t="n">
        <f aca="false">IF(C141&lt;Tomato_Bed_Cap,Tomato_Price-(MAX(0,MIN(F141+INDEX(C5:C24,C141+1),Own_Labor_Hours)-MIN(F141,Own_Labor_Hours))*Farmer_Implied_Wage+(INDEX(C5:C24,C141+1)-MAX(0,MIN(F141+INDEX(C5:C24,C141+1),Own_Labor_Hours)-MIN(F141,Own_Labor_Hours)))*Temp_Wage_Per_Hour+Tomato_Fertilizer_Per_Bed),-1E+018)</f>
        <v>-590.717447203133</v>
      </c>
      <c r="H142" s="31" t="n">
        <f aca="false">IF(D141&lt;Carrot_Bed_Cap,Carrot_Price-(MAX(0,MIN(F141+INDEX(J5:J24,D141+1),Own_Labor_Hours)-MIN(F141,Own_Labor_Hours))*Farmer_Implied_Wage+(INDEX(J5:J24,D141+1)-MAX(0,MIN(F141+INDEX(J5:J24,D141+1),Own_Labor_Hours)-MIN(F141,Own_Labor_Hours)))*Temp_Wage_Per_Hour+Carrot_Fertilizer_Per_Bed),-1E+018)</f>
        <v>-1E+018</v>
      </c>
      <c r="I142" s="31" t="n">
        <f aca="false">IF(E141&lt;Mesclun_Bed_Cap,Mesclun_Price-(MAX(0,MIN(F141+INDEX(Q5:Q34,E141+1),Own_Labor_Hours)-MIN(F141,Own_Labor_Hours))*Farmer_Implied_Wage+(INDEX(Q5:Q34,E141+1)-MAX(0,MIN(F141+INDEX(Q5:Q34,E141+1),Own_Labor_Hours)-MIN(F141,Own_Labor_Hours)))*Temp_Wage_Per_Hour+Mesclun_Fertilizer_Per_Bed),-1E+018)</f>
        <v>-1E+018</v>
      </c>
    </row>
    <row r="143" customFormat="false" ht="15" hidden="false" customHeight="false" outlineLevel="0" collapsed="false">
      <c r="A143" s="17" t="n">
        <v>62</v>
      </c>
      <c r="B143" s="5" t="str">
        <f aca="false">IF(NOT(AND(MAX(G143,H143,I143)&gt;0,C142+D142+E142&lt;Total_Beds)),"(stopped)",IF(G143=MAX(G143,H143,I143),"Tomato",IF(H143=MAX(G143,H143,I143),"Carrot","Mesclun")))</f>
        <v>(stopped)</v>
      </c>
      <c r="C143" s="17" t="n">
        <f aca="false">C142+IF(B143="Tomato",1,0)</f>
        <v>10</v>
      </c>
      <c r="D143" s="17" t="n">
        <f aca="false">D142+IF(B143="Carrot",1,0)</f>
        <v>20</v>
      </c>
      <c r="E143" s="17" t="n">
        <f aca="false">E142+IF(B143="Mesclun",1,0)</f>
        <v>30</v>
      </c>
      <c r="F143" s="30" t="n">
        <f aca="false">F142+IF(B143="Tomato",INDEX(C5:C24,C142+1),IF(B143="Carrot",INDEX(J5:J24,D142+1),IF(B143="Mesclun",INDEX(Q5:Q34,E142+1),0)))</f>
        <v>5277.21611427388</v>
      </c>
      <c r="G143" s="31" t="n">
        <f aca="false">IF(C142&lt;Tomato_Bed_Cap,Tomato_Price-(MAX(0,MIN(F142+INDEX(C5:C24,C142+1),Own_Labor_Hours)-MIN(F142,Own_Labor_Hours))*Farmer_Implied_Wage+(INDEX(C5:C24,C142+1)-MAX(0,MIN(F142+INDEX(C5:C24,C142+1),Own_Labor_Hours)-MIN(F142,Own_Labor_Hours)))*Temp_Wage_Per_Hour+Tomato_Fertilizer_Per_Bed),-1E+018)</f>
        <v>-590.717447203133</v>
      </c>
      <c r="H143" s="31" t="n">
        <f aca="false">IF(D142&lt;Carrot_Bed_Cap,Carrot_Price-(MAX(0,MIN(F142+INDEX(J5:J24,D142+1),Own_Labor_Hours)-MIN(F142,Own_Labor_Hours))*Farmer_Implied_Wage+(INDEX(J5:J24,D142+1)-MAX(0,MIN(F142+INDEX(J5:J24,D142+1),Own_Labor_Hours)-MIN(F142,Own_Labor_Hours)))*Temp_Wage_Per_Hour+Carrot_Fertilizer_Per_Bed),-1E+018)</f>
        <v>-1E+018</v>
      </c>
      <c r="I143" s="31" t="n">
        <f aca="false">IF(E142&lt;Mesclun_Bed_Cap,Mesclun_Price-(MAX(0,MIN(F142+INDEX(Q5:Q34,E142+1),Own_Labor_Hours)-MIN(F142,Own_Labor_Hours))*Farmer_Implied_Wage+(INDEX(Q5:Q34,E142+1)-MAX(0,MIN(F142+INDEX(Q5:Q34,E142+1),Own_Labor_Hours)-MIN(F142,Own_Labor_Hours)))*Temp_Wage_Per_Hour+Mesclun_Fertilizer_Per_Bed),-1E+018)</f>
        <v>-1E+018</v>
      </c>
    </row>
    <row r="144" customFormat="false" ht="15" hidden="false" customHeight="false" outlineLevel="0" collapsed="false">
      <c r="A144" s="17" t="n">
        <v>63</v>
      </c>
      <c r="B144" s="5" t="str">
        <f aca="false">IF(NOT(AND(MAX(G144,H144,I144)&gt;0,C143+D143+E143&lt;Total_Beds)),"(stopped)",IF(G144=MAX(G144,H144,I144),"Tomato",IF(H144=MAX(G144,H144,I144),"Carrot","Mesclun")))</f>
        <v>(stopped)</v>
      </c>
      <c r="C144" s="17" t="n">
        <f aca="false">C143+IF(B144="Tomato",1,0)</f>
        <v>10</v>
      </c>
      <c r="D144" s="17" t="n">
        <f aca="false">D143+IF(B144="Carrot",1,0)</f>
        <v>20</v>
      </c>
      <c r="E144" s="17" t="n">
        <f aca="false">E143+IF(B144="Mesclun",1,0)</f>
        <v>30</v>
      </c>
      <c r="F144" s="30" t="n">
        <f aca="false">F143+IF(B144="Tomato",INDEX(C5:C24,C143+1),IF(B144="Carrot",INDEX(J5:J24,D143+1),IF(B144="Mesclun",INDEX(Q5:Q34,E143+1),0)))</f>
        <v>5277.21611427388</v>
      </c>
      <c r="G144" s="31" t="n">
        <f aca="false">IF(C143&lt;Tomato_Bed_Cap,Tomato_Price-(MAX(0,MIN(F143+INDEX(C5:C24,C143+1),Own_Labor_Hours)-MIN(F143,Own_Labor_Hours))*Farmer_Implied_Wage+(INDEX(C5:C24,C143+1)-MAX(0,MIN(F143+INDEX(C5:C24,C143+1),Own_Labor_Hours)-MIN(F143,Own_Labor_Hours)))*Temp_Wage_Per_Hour+Tomato_Fertilizer_Per_Bed),-1E+018)</f>
        <v>-590.717447203133</v>
      </c>
      <c r="H144" s="31" t="n">
        <f aca="false">IF(D143&lt;Carrot_Bed_Cap,Carrot_Price-(MAX(0,MIN(F143+INDEX(J5:J24,D143+1),Own_Labor_Hours)-MIN(F143,Own_Labor_Hours))*Farmer_Implied_Wage+(INDEX(J5:J24,D143+1)-MAX(0,MIN(F143+INDEX(J5:J24,D143+1),Own_Labor_Hours)-MIN(F143,Own_Labor_Hours)))*Temp_Wage_Per_Hour+Carrot_Fertilizer_Per_Bed),-1E+018)</f>
        <v>-1E+018</v>
      </c>
      <c r="I144" s="31" t="n">
        <f aca="false">IF(E143&lt;Mesclun_Bed_Cap,Mesclun_Price-(MAX(0,MIN(F143+INDEX(Q5:Q34,E143+1),Own_Labor_Hours)-MIN(F143,Own_Labor_Hours))*Farmer_Implied_Wage+(INDEX(Q5:Q34,E143+1)-MAX(0,MIN(F143+INDEX(Q5:Q34,E143+1),Own_Labor_Hours)-MIN(F143,Own_Labor_Hours)))*Temp_Wage_Per_Hour+Mesclun_Fertilizer_Per_Bed),-1E+018)</f>
        <v>-1E+018</v>
      </c>
    </row>
    <row r="145" customFormat="false" ht="15" hidden="false" customHeight="false" outlineLevel="0" collapsed="false">
      <c r="A145" s="17" t="n">
        <v>64</v>
      </c>
      <c r="B145" s="5" t="str">
        <f aca="false">IF(NOT(AND(MAX(G145,H145,I145)&gt;0,C144+D144+E144&lt;Total_Beds)),"(stopped)",IF(G145=MAX(G145,H145,I145),"Tomato",IF(H145=MAX(G145,H145,I145),"Carrot","Mesclun")))</f>
        <v>(stopped)</v>
      </c>
      <c r="C145" s="17" t="n">
        <f aca="false">C144+IF(B145="Tomato",1,0)</f>
        <v>10</v>
      </c>
      <c r="D145" s="17" t="n">
        <f aca="false">D144+IF(B145="Carrot",1,0)</f>
        <v>20</v>
      </c>
      <c r="E145" s="17" t="n">
        <f aca="false">E144+IF(B145="Mesclun",1,0)</f>
        <v>30</v>
      </c>
      <c r="F145" s="30" t="n">
        <f aca="false">F144+IF(B145="Tomato",INDEX(C5:C24,C144+1),IF(B145="Carrot",INDEX(J5:J24,D144+1),IF(B145="Mesclun",INDEX(Q5:Q34,E144+1),0)))</f>
        <v>5277.21611427388</v>
      </c>
      <c r="G145" s="31" t="n">
        <f aca="false">IF(C144&lt;Tomato_Bed_Cap,Tomato_Price-(MAX(0,MIN(F144+INDEX(C5:C24,C144+1),Own_Labor_Hours)-MIN(F144,Own_Labor_Hours))*Farmer_Implied_Wage+(INDEX(C5:C24,C144+1)-MAX(0,MIN(F144+INDEX(C5:C24,C144+1),Own_Labor_Hours)-MIN(F144,Own_Labor_Hours)))*Temp_Wage_Per_Hour+Tomato_Fertilizer_Per_Bed),-1E+018)</f>
        <v>-590.717447203133</v>
      </c>
      <c r="H145" s="31" t="n">
        <f aca="false">IF(D144&lt;Carrot_Bed_Cap,Carrot_Price-(MAX(0,MIN(F144+INDEX(J5:J24,D144+1),Own_Labor_Hours)-MIN(F144,Own_Labor_Hours))*Farmer_Implied_Wage+(INDEX(J5:J24,D144+1)-MAX(0,MIN(F144+INDEX(J5:J24,D144+1),Own_Labor_Hours)-MIN(F144,Own_Labor_Hours)))*Temp_Wage_Per_Hour+Carrot_Fertilizer_Per_Bed),-1E+018)</f>
        <v>-1E+018</v>
      </c>
      <c r="I145" s="31" t="n">
        <f aca="false">IF(E144&lt;Mesclun_Bed_Cap,Mesclun_Price-(MAX(0,MIN(F144+INDEX(Q5:Q34,E144+1),Own_Labor_Hours)-MIN(F144,Own_Labor_Hours))*Farmer_Implied_Wage+(INDEX(Q5:Q34,E144+1)-MAX(0,MIN(F144+INDEX(Q5:Q34,E144+1),Own_Labor_Hours)-MIN(F144,Own_Labor_Hours)))*Temp_Wage_Per_Hour+Mesclun_Fertilizer_Per_Bed),-1E+018)</f>
        <v>-1E+018</v>
      </c>
    </row>
    <row r="147" customFormat="false" ht="15" hidden="false" customHeight="false" outlineLevel="0" collapsed="false">
      <c r="A147" s="3" t="s">
        <v>128</v>
      </c>
      <c r="B147" s="3"/>
      <c r="C147" s="3"/>
      <c r="D147" s="3"/>
      <c r="E147" s="3"/>
      <c r="F147" s="3"/>
    </row>
    <row r="148" customFormat="false" ht="15" hidden="false" customHeight="false" outlineLevel="0" collapsed="false">
      <c r="A148" s="16" t="s">
        <v>129</v>
      </c>
      <c r="B148" s="16"/>
      <c r="C148" s="16"/>
      <c r="D148" s="36" t="n">
        <f aca="false">C145</f>
        <v>10</v>
      </c>
      <c r="E148" s="36" t="n">
        <f aca="false">D145</f>
        <v>20</v>
      </c>
      <c r="F148" s="36" t="n">
        <f aca="false">E145</f>
        <v>30</v>
      </c>
    </row>
    <row r="149" customFormat="false" ht="15" hidden="false" customHeight="false" outlineLevel="0" collapsed="false">
      <c r="A149" s="16" t="s">
        <v>14</v>
      </c>
      <c r="B149" s="16"/>
      <c r="C149" s="16"/>
      <c r="D149" s="30" t="n">
        <f aca="false">F145</f>
        <v>5277.21611427388</v>
      </c>
    </row>
    <row r="150" customFormat="false" ht="15" hidden="false" customHeight="false" outlineLevel="0" collapsed="false">
      <c r="A150" s="16" t="s">
        <v>130</v>
      </c>
      <c r="B150" s="16"/>
      <c r="C150" s="16"/>
      <c r="D150" s="18" t="n">
        <f aca="false">MIN($D$149,Own_Labor_Hours)*Farmer_Implied_Wage+MAX(0,$D$149-Own_Labor_Hours)*Temp_Wage_Per_Hour</f>
        <v>104118.335317255</v>
      </c>
    </row>
    <row r="151" customFormat="false" ht="15" hidden="false" customHeight="false" outlineLevel="0" collapsed="false">
      <c r="A151" s="16" t="s">
        <v>97</v>
      </c>
      <c r="B151" s="16"/>
      <c r="C151" s="16"/>
      <c r="D151" s="37" t="n">
        <f aca="false">$D$148*Tomato_Price+$E$148*Carrot_Price+$F$148*Mesclun_Price-($D$148*Tomato_Fertilizer_Per_Bed+$E$148*Carrot_Fertilizer_Per_Bed+$F$148*Mesclun_Fertilizer_Per_Bed)-$D$150</f>
        <v>62761.6646827451</v>
      </c>
    </row>
    <row r="152" customFormat="false" ht="15" hidden="false" customHeight="false" outlineLevel="0" collapsed="false">
      <c r="A152" s="16" t="s">
        <v>98</v>
      </c>
      <c r="B152" s="16"/>
      <c r="C152" s="16"/>
      <c r="D152" s="37" t="n">
        <f aca="false">$D$151-Fixed_Cost</f>
        <v>42761.6646827451</v>
      </c>
    </row>
    <row r="153" customFormat="false" ht="15" hidden="false" customHeight="false" outlineLevel="0" collapsed="false">
      <c r="A153" s="16" t="s">
        <v>131</v>
      </c>
      <c r="B153" s="16"/>
      <c r="C153" s="16"/>
      <c r="D153" s="19" t="n">
        <f aca="false">$D$152-$E$53</f>
        <v>0</v>
      </c>
    </row>
  </sheetData>
  <sheetProtection sheet="true"/>
  <mergeCells count="50">
    <mergeCell ref="A1:F1"/>
    <mergeCell ref="A2:U2"/>
    <mergeCell ref="B3:G3"/>
    <mergeCell ref="I3:N3"/>
    <mergeCell ref="P3:U3"/>
    <mergeCell ref="B26:E26"/>
    <mergeCell ref="I26:L26"/>
    <mergeCell ref="P36:S36"/>
    <mergeCell ref="A38:F38"/>
    <mergeCell ref="A39:D39"/>
    <mergeCell ref="A40:D40"/>
    <mergeCell ref="A41:D41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3:D53"/>
    <mergeCell ref="A56:D56"/>
    <mergeCell ref="A57:D57"/>
    <mergeCell ref="A58:D58"/>
    <mergeCell ref="A59:D59"/>
    <mergeCell ref="A60:D60"/>
    <mergeCell ref="A61:D61"/>
    <mergeCell ref="A62:D62"/>
    <mergeCell ref="A65:F65"/>
    <mergeCell ref="A66:D66"/>
    <mergeCell ref="A68:F68"/>
    <mergeCell ref="A69:D69"/>
    <mergeCell ref="A70:D70"/>
    <mergeCell ref="A71:D71"/>
    <mergeCell ref="A72:D72"/>
    <mergeCell ref="A73:D73"/>
    <mergeCell ref="A74:D74"/>
    <mergeCell ref="A75:D75"/>
    <mergeCell ref="A78:I78"/>
    <mergeCell ref="A79:I79"/>
    <mergeCell ref="A147:F147"/>
    <mergeCell ref="A148:C148"/>
    <mergeCell ref="A149:C149"/>
    <mergeCell ref="A150:C150"/>
    <mergeCell ref="A151:C151"/>
    <mergeCell ref="A152:C152"/>
    <mergeCell ref="A153:C153"/>
  </mergeCells>
  <conditionalFormatting sqref="E56">
    <cfRule type="expression" priority="2" aboveAverage="0" equalAverage="0" bottom="0" percent="0" rank="0" text="" dxfId="0">
      <formula>E56="VIOLATION"</formula>
    </cfRule>
    <cfRule type="expression" priority="3" aboveAverage="0" equalAverage="0" bottom="0" percent="0" rank="0" text="" dxfId="0">
      <formula>ISNUMBER(SEARCH("VIOLATION",E56))</formula>
    </cfRule>
    <cfRule type="expression" priority="4" aboveAverage="0" equalAverage="0" bottom="0" percent="0" rank="0" text="" dxfId="1">
      <formula>E56="OK"</formula>
    </cfRule>
  </conditionalFormatting>
  <conditionalFormatting sqref="E57">
    <cfRule type="expression" priority="5" aboveAverage="0" equalAverage="0" bottom="0" percent="0" rank="0" text="" dxfId="0">
      <formula>E57="VIOLATION"</formula>
    </cfRule>
    <cfRule type="expression" priority="6" aboveAverage="0" equalAverage="0" bottom="0" percent="0" rank="0" text="" dxfId="0">
      <formula>ISNUMBER(SEARCH("VIOLATION",E57))</formula>
    </cfRule>
    <cfRule type="expression" priority="7" aboveAverage="0" equalAverage="0" bottom="0" percent="0" rank="0" text="" dxfId="1">
      <formula>E57="OK"</formula>
    </cfRule>
  </conditionalFormatting>
  <conditionalFormatting sqref="E58">
    <cfRule type="expression" priority="8" aboveAverage="0" equalAverage="0" bottom="0" percent="0" rank="0" text="" dxfId="0">
      <formula>E58="VIOLATION"</formula>
    </cfRule>
    <cfRule type="expression" priority="9" aboveAverage="0" equalAverage="0" bottom="0" percent="0" rank="0" text="" dxfId="0">
      <formula>ISNUMBER(SEARCH("VIOLATION",E58))</formula>
    </cfRule>
    <cfRule type="expression" priority="10" aboveAverage="0" equalAverage="0" bottom="0" percent="0" rank="0" text="" dxfId="1">
      <formula>E58="OK"</formula>
    </cfRule>
  </conditionalFormatting>
  <conditionalFormatting sqref="E59">
    <cfRule type="expression" priority="11" aboveAverage="0" equalAverage="0" bottom="0" percent="0" rank="0" text="" dxfId="0">
      <formula>E59="VIOLATION"</formula>
    </cfRule>
    <cfRule type="expression" priority="12" aboveAverage="0" equalAverage="0" bottom="0" percent="0" rank="0" text="" dxfId="0">
      <formula>ISNUMBER(SEARCH("VIOLATION",E59))</formula>
    </cfRule>
    <cfRule type="expression" priority="13" aboveAverage="0" equalAverage="0" bottom="0" percent="0" rank="0" text="" dxfId="1">
      <formula>E59="OK"</formula>
    </cfRule>
  </conditionalFormatting>
  <conditionalFormatting sqref="E60">
    <cfRule type="expression" priority="14" aboveAverage="0" equalAverage="0" bottom="0" percent="0" rank="0" text="" dxfId="0">
      <formula>E60="VIOLATION"</formula>
    </cfRule>
    <cfRule type="expression" priority="15" aboveAverage="0" equalAverage="0" bottom="0" percent="0" rank="0" text="" dxfId="0">
      <formula>ISNUMBER(SEARCH("VIOLATION",E60))</formula>
    </cfRule>
    <cfRule type="expression" priority="16" aboveAverage="0" equalAverage="0" bottom="0" percent="0" rank="0" text="" dxfId="1">
      <formula>E60="OK"</formula>
    </cfRule>
  </conditionalFormatting>
  <conditionalFormatting sqref="E61">
    <cfRule type="expression" priority="17" aboveAverage="0" equalAverage="0" bottom="0" percent="0" rank="0" text="" dxfId="0">
      <formula>E61="VIOLATION"</formula>
    </cfRule>
    <cfRule type="expression" priority="18" aboveAverage="0" equalAverage="0" bottom="0" percent="0" rank="0" text="" dxfId="0">
      <formula>ISNUMBER(SEARCH("VIOLATION",E61))</formula>
    </cfRule>
    <cfRule type="expression" priority="19" aboveAverage="0" equalAverage="0" bottom="0" percent="0" rank="0" text="" dxfId="1">
      <formula>E61="OK"</formula>
    </cfRule>
  </conditionalFormatting>
  <conditionalFormatting sqref="E62">
    <cfRule type="expression" priority="20" aboveAverage="0" equalAverage="0" bottom="0" percent="0" rank="0" text="" dxfId="0">
      <formula>E62="VIOLATION"</formula>
    </cfRule>
    <cfRule type="expression" priority="21" aboveAverage="0" equalAverage="0" bottom="0" percent="0" rank="0" text="" dxfId="0">
      <formula>ISNUMBER(SEARCH("VIOLATION",E62))</formula>
    </cfRule>
    <cfRule type="expression" priority="22" aboveAverage="0" equalAverage="0" bottom="0" percent="0" rank="0" text="" dxfId="1">
      <formula>E62="OK"</formula>
    </cfRule>
  </conditionalFormatting>
  <conditionalFormatting sqref="E75">
    <cfRule type="expression" priority="23" aboveAverage="0" equalAverage="0" bottom="0" percent="0" rank="0" text="" dxfId="0">
      <formula>ISNUMBER(SEARCH("FAILS",E75))</formula>
    </cfRule>
    <cfRule type="expression" priority="24" aboveAverage="0" equalAverage="0" bottom="0" percent="0" rank="0" text="" dxfId="1">
      <formula>ISNUMBER(SEARCH("holds",E75))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132</v>
      </c>
      <c r="B1" s="1"/>
      <c r="C1" s="1"/>
      <c r="D1" s="1"/>
    </row>
    <row r="2" customFormat="false" ht="15" hidden="false" customHeight="false" outlineLevel="0" collapsed="false">
      <c r="A2" s="2" t="s">
        <v>133</v>
      </c>
      <c r="B2" s="2"/>
      <c r="C2" s="2"/>
      <c r="D2" s="2"/>
    </row>
    <row r="4" customFormat="false" ht="15" hidden="false" customHeight="false" outlineLevel="0" collapsed="false">
      <c r="A4" s="3" t="s">
        <v>134</v>
      </c>
      <c r="B4" s="3"/>
      <c r="C4" s="3"/>
      <c r="D4" s="3"/>
    </row>
    <row r="6" customFormat="false" ht="15" hidden="false" customHeight="false" outlineLevel="0" collapsed="false">
      <c r="A6" s="22" t="s">
        <v>135</v>
      </c>
      <c r="C6" s="38" t="n">
        <v>10</v>
      </c>
    </row>
    <row r="7" customFormat="false" ht="15" hidden="false" customHeight="false" outlineLevel="0" collapsed="false">
      <c r="A7" s="22" t="s">
        <v>136</v>
      </c>
      <c r="C7" s="38" t="n">
        <v>20</v>
      </c>
    </row>
    <row r="8" customFormat="false" ht="15" hidden="false" customHeight="false" outlineLevel="0" collapsed="false">
      <c r="A8" s="22" t="s">
        <v>137</v>
      </c>
      <c r="C8" s="38" t="n">
        <v>30</v>
      </c>
    </row>
    <row r="9" customFormat="false" ht="15" hidden="false" customHeight="false" outlineLevel="0" collapsed="false">
      <c r="A9" s="22" t="s">
        <v>13</v>
      </c>
      <c r="C9" s="38" t="n">
        <v>4</v>
      </c>
    </row>
    <row r="11" customFormat="false" ht="15" hidden="false" customHeight="false" outlineLevel="0" collapsed="false">
      <c r="A11" s="3" t="s">
        <v>138</v>
      </c>
      <c r="B11" s="3"/>
      <c r="C11" s="14" t="n">
        <f aca="false">Calculations!$E$53</f>
        <v>42761.664682745</v>
      </c>
    </row>
    <row r="13" customFormat="false" ht="15" hidden="false" customHeight="false" outlineLevel="0" collapsed="false">
      <c r="A13" s="3" t="s">
        <v>139</v>
      </c>
      <c r="B13" s="3"/>
      <c r="C13" s="3"/>
      <c r="D13" s="3"/>
    </row>
    <row r="14" customFormat="false" ht="15" hidden="false" customHeight="false" outlineLevel="0" collapsed="false">
      <c r="A14" s="10" t="s">
        <v>140</v>
      </c>
      <c r="B14" s="10"/>
      <c r="C14" s="10"/>
      <c r="D14" s="10"/>
    </row>
    <row r="15" customFormat="false" ht="15" hidden="false" customHeight="false" outlineLevel="0" collapsed="false">
      <c r="A15" s="10" t="s">
        <v>141</v>
      </c>
      <c r="B15" s="10"/>
      <c r="C15" s="10"/>
      <c r="D15" s="10"/>
    </row>
    <row r="16" customFormat="false" ht="15" hidden="false" customHeight="false" outlineLevel="0" collapsed="false">
      <c r="A16" s="10" t="s">
        <v>142</v>
      </c>
      <c r="B16" s="10"/>
      <c r="C16" s="10"/>
      <c r="D16" s="10"/>
    </row>
    <row r="17" customFormat="false" ht="15" hidden="false" customHeight="false" outlineLevel="0" collapsed="false">
      <c r="A17" s="10" t="s">
        <v>143</v>
      </c>
      <c r="B17" s="10"/>
      <c r="C17" s="10"/>
      <c r="D17" s="10"/>
    </row>
    <row r="18" customFormat="false" ht="15" hidden="false" customHeight="false" outlineLevel="0" collapsed="false">
      <c r="A18" s="10" t="s">
        <v>144</v>
      </c>
      <c r="B18" s="10"/>
      <c r="C18" s="10"/>
      <c r="D18" s="10"/>
    </row>
    <row r="19" customFormat="false" ht="15" hidden="false" customHeight="false" outlineLevel="0" collapsed="false">
      <c r="A19" s="10" t="s">
        <v>145</v>
      </c>
      <c r="B19" s="10"/>
      <c r="C19" s="10"/>
      <c r="D19" s="10"/>
    </row>
    <row r="20" customFormat="false" ht="15" hidden="false" customHeight="false" outlineLevel="0" collapsed="false">
      <c r="A20" s="10" t="s">
        <v>146</v>
      </c>
      <c r="B20" s="10"/>
      <c r="C20" s="10"/>
      <c r="D20" s="10"/>
    </row>
    <row r="21" customFormat="false" ht="15" hidden="false" customHeight="false" outlineLevel="0" collapsed="false">
      <c r="A21" s="10" t="s">
        <v>147</v>
      </c>
      <c r="B21" s="10"/>
      <c r="C21" s="10"/>
      <c r="D21" s="10"/>
    </row>
    <row r="23" customFormat="false" ht="15" hidden="false" customHeight="false" outlineLevel="0" collapsed="false">
      <c r="A23" s="3" t="s">
        <v>148</v>
      </c>
      <c r="B23" s="3"/>
      <c r="C23" s="3"/>
      <c r="D23" s="3"/>
    </row>
    <row r="24" customFormat="false" ht="15" hidden="false" customHeight="false" outlineLevel="0" collapsed="false">
      <c r="A24" s="10" t="s">
        <v>100</v>
      </c>
      <c r="B24" s="10"/>
      <c r="C24" s="39" t="str">
        <f aca="false">Calculations!$E$56</f>
        <v>OK</v>
      </c>
    </row>
    <row r="25" customFormat="false" ht="15" hidden="false" customHeight="false" outlineLevel="0" collapsed="false">
      <c r="A25" s="10" t="s">
        <v>101</v>
      </c>
      <c r="B25" s="10"/>
      <c r="C25" s="39" t="str">
        <f aca="false">Calculations!$E$57</f>
        <v>OK</v>
      </c>
    </row>
    <row r="26" customFormat="false" ht="15" hidden="false" customHeight="false" outlineLevel="0" collapsed="false">
      <c r="A26" s="10" t="s">
        <v>102</v>
      </c>
      <c r="B26" s="10"/>
      <c r="C26" s="39" t="str">
        <f aca="false">Calculations!$E$58</f>
        <v>OK</v>
      </c>
    </row>
    <row r="27" customFormat="false" ht="15" hidden="false" customHeight="false" outlineLevel="0" collapsed="false">
      <c r="A27" s="10" t="s">
        <v>103</v>
      </c>
      <c r="B27" s="10"/>
      <c r="C27" s="39" t="str">
        <f aca="false">Calculations!$E$59</f>
        <v>OK</v>
      </c>
    </row>
    <row r="28" customFormat="false" ht="15" hidden="false" customHeight="false" outlineLevel="0" collapsed="false">
      <c r="A28" s="10" t="s">
        <v>149</v>
      </c>
      <c r="B28" s="10"/>
      <c r="C28" s="39" t="str">
        <f aca="false">Calculations!$E$60</f>
        <v>OK</v>
      </c>
    </row>
    <row r="29" customFormat="false" ht="15" hidden="false" customHeight="false" outlineLevel="0" collapsed="false">
      <c r="A29" s="10" t="s">
        <v>150</v>
      </c>
      <c r="B29" s="10"/>
      <c r="C29" s="39" t="str">
        <f aca="false">Calculations!$E$61</f>
        <v>OK</v>
      </c>
    </row>
    <row r="30" customFormat="false" ht="15" hidden="false" customHeight="false" outlineLevel="0" collapsed="false">
      <c r="A30" s="10" t="s">
        <v>151</v>
      </c>
      <c r="B30" s="10"/>
      <c r="C30" s="39" t="str">
        <f aca="false">Calculations!$E$62</f>
        <v>OK</v>
      </c>
    </row>
    <row r="32" customFormat="false" ht="15" hidden="false" customHeight="false" outlineLevel="0" collapsed="false">
      <c r="A32" s="2" t="s">
        <v>152</v>
      </c>
      <c r="B32" s="2"/>
      <c r="C32" s="2"/>
      <c r="D32" s="2"/>
    </row>
  </sheetData>
  <sheetProtection sheet="true"/>
  <mergeCells count="22">
    <mergeCell ref="A1:D1"/>
    <mergeCell ref="A2:D2"/>
    <mergeCell ref="A4:D4"/>
    <mergeCell ref="A11:B11"/>
    <mergeCell ref="A13:D13"/>
    <mergeCell ref="A14:D14"/>
    <mergeCell ref="A15:D15"/>
    <mergeCell ref="A16:D16"/>
    <mergeCell ref="A17:D17"/>
    <mergeCell ref="A18:D18"/>
    <mergeCell ref="A19:D19"/>
    <mergeCell ref="A20:D20"/>
    <mergeCell ref="A21:D21"/>
    <mergeCell ref="A23:D23"/>
    <mergeCell ref="A24:B24"/>
    <mergeCell ref="A25:B25"/>
    <mergeCell ref="A26:B26"/>
    <mergeCell ref="A27:B27"/>
    <mergeCell ref="A28:B28"/>
    <mergeCell ref="A29:B29"/>
    <mergeCell ref="A30:B30"/>
    <mergeCell ref="A32:D32"/>
  </mergeCells>
  <conditionalFormatting sqref="C24">
    <cfRule type="expression" priority="2" aboveAverage="0" equalAverage="0" bottom="0" percent="0" rank="0" text="" dxfId="0">
      <formula>ISNUMBER(SEARCH("VIOLATION",C24))</formula>
    </cfRule>
    <cfRule type="expression" priority="3" aboveAverage="0" equalAverage="0" bottom="0" percent="0" rank="0" text="" dxfId="1">
      <formula>C24="OK"</formula>
    </cfRule>
  </conditionalFormatting>
  <conditionalFormatting sqref="C25">
    <cfRule type="expression" priority="4" aboveAverage="0" equalAverage="0" bottom="0" percent="0" rank="0" text="" dxfId="0">
      <formula>ISNUMBER(SEARCH("VIOLATION",C25))</formula>
    </cfRule>
    <cfRule type="expression" priority="5" aboveAverage="0" equalAverage="0" bottom="0" percent="0" rank="0" text="" dxfId="1">
      <formula>C25="OK"</formula>
    </cfRule>
  </conditionalFormatting>
  <conditionalFormatting sqref="C26">
    <cfRule type="expression" priority="6" aboveAverage="0" equalAverage="0" bottom="0" percent="0" rank="0" text="" dxfId="0">
      <formula>ISNUMBER(SEARCH("VIOLATION",C26))</formula>
    </cfRule>
    <cfRule type="expression" priority="7" aboveAverage="0" equalAverage="0" bottom="0" percent="0" rank="0" text="" dxfId="1">
      <formula>C26="OK"</formula>
    </cfRule>
  </conditionalFormatting>
  <conditionalFormatting sqref="C27">
    <cfRule type="expression" priority="8" aboveAverage="0" equalAverage="0" bottom="0" percent="0" rank="0" text="" dxfId="0">
      <formula>ISNUMBER(SEARCH("VIOLATION",C27))</formula>
    </cfRule>
    <cfRule type="expression" priority="9" aboveAverage="0" equalAverage="0" bottom="0" percent="0" rank="0" text="" dxfId="1">
      <formula>C27="OK"</formula>
    </cfRule>
  </conditionalFormatting>
  <conditionalFormatting sqref="C28">
    <cfRule type="expression" priority="10" aboveAverage="0" equalAverage="0" bottom="0" percent="0" rank="0" text="" dxfId="0">
      <formula>ISNUMBER(SEARCH("VIOLATION",C28))</formula>
    </cfRule>
    <cfRule type="expression" priority="11" aboveAverage="0" equalAverage="0" bottom="0" percent="0" rank="0" text="" dxfId="1">
      <formula>C28="OK"</formula>
    </cfRule>
  </conditionalFormatting>
  <conditionalFormatting sqref="C29">
    <cfRule type="expression" priority="12" aboveAverage="0" equalAverage="0" bottom="0" percent="0" rank="0" text="" dxfId="0">
      <formula>ISNUMBER(SEARCH("VIOLATION",C29))</formula>
    </cfRule>
    <cfRule type="expression" priority="13" aboveAverage="0" equalAverage="0" bottom="0" percent="0" rank="0" text="" dxfId="1">
      <formula>C29="OK"</formula>
    </cfRule>
  </conditionalFormatting>
  <conditionalFormatting sqref="C30">
    <cfRule type="expression" priority="14" aboveAverage="0" equalAverage="0" bottom="0" percent="0" rank="0" text="" dxfId="0">
      <formula>ISNUMBER(SEARCH("VIOLATION",C30))</formula>
    </cfRule>
    <cfRule type="expression" priority="15" aboveAverage="0" equalAverage="0" bottom="0" percent="0" rank="0" text="" dxfId="1">
      <formula>C30="OK"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2"/>
  </cols>
  <sheetData>
    <row r="1" customFormat="false" ht="17.35" hidden="false" customHeight="false" outlineLevel="0" collapsed="false">
      <c r="A1" s="40" t="s">
        <v>153</v>
      </c>
    </row>
    <row r="3" customFormat="false" ht="15" hidden="false" customHeight="false" outlineLevel="0" collapsed="false">
      <c r="A3" s="41" t="s">
        <v>154</v>
      </c>
    </row>
    <row r="4" customFormat="false" ht="26.85" hidden="false" customHeight="false" outlineLevel="0" collapsed="false">
      <c r="A4" s="42" t="s">
        <v>155</v>
      </c>
    </row>
    <row r="6" customFormat="false" ht="15" hidden="false" customHeight="false" outlineLevel="0" collapsed="false">
      <c r="A6" s="41" t="s">
        <v>156</v>
      </c>
    </row>
    <row r="7" customFormat="false" ht="15" hidden="false" customHeight="false" outlineLevel="0" collapsed="false">
      <c r="A7" s="42" t="s">
        <v>157</v>
      </c>
    </row>
    <row r="8" customFormat="false" ht="15" hidden="false" customHeight="false" outlineLevel="0" collapsed="false">
      <c r="A8" s="42" t="s">
        <v>158</v>
      </c>
    </row>
    <row r="9" customFormat="false" ht="15" hidden="false" customHeight="false" outlineLevel="0" collapsed="false">
      <c r="A9" s="42" t="s">
        <v>159</v>
      </c>
    </row>
    <row r="11" customFormat="false" ht="15" hidden="false" customHeight="false" outlineLevel="0" collapsed="false">
      <c r="A11" s="41" t="s">
        <v>160</v>
      </c>
    </row>
    <row r="12" customFormat="false" ht="39.55" hidden="false" customHeight="false" outlineLevel="0" collapsed="false">
      <c r="A12" s="42" t="s">
        <v>161</v>
      </c>
    </row>
    <row r="13" customFormat="false" ht="52.2" hidden="false" customHeight="false" outlineLevel="0" collapsed="false">
      <c r="A13" s="42" t="s">
        <v>162</v>
      </c>
    </row>
    <row r="14" customFormat="false" ht="39.55" hidden="false" customHeight="false" outlineLevel="0" collapsed="false">
      <c r="A14" s="42" t="s">
        <v>163</v>
      </c>
    </row>
    <row r="16" customFormat="false" ht="15" hidden="false" customHeight="false" outlineLevel="0" collapsed="false">
      <c r="A16" s="41" t="s">
        <v>164</v>
      </c>
    </row>
    <row r="17" customFormat="false" ht="39.55" hidden="false" customHeight="false" outlineLevel="0" collapsed="false">
      <c r="A17" s="42" t="s">
        <v>165</v>
      </c>
    </row>
    <row r="19" customFormat="false" ht="15" hidden="false" customHeight="false" outlineLevel="0" collapsed="false">
      <c r="A19" s="41" t="s">
        <v>166</v>
      </c>
    </row>
    <row r="20" customFormat="false" ht="52.2" hidden="false" customHeight="false" outlineLevel="0" collapsed="false">
      <c r="A20" s="42" t="s">
        <v>167</v>
      </c>
    </row>
    <row r="22" customFormat="false" ht="15" hidden="false" customHeight="false" outlineLevel="0" collapsed="false">
      <c r="A22" s="41" t="s">
        <v>168</v>
      </c>
    </row>
    <row r="23" customFormat="false" ht="26.85" hidden="false" customHeight="false" outlineLevel="0" collapsed="false">
      <c r="A23" s="42" t="s">
        <v>169</v>
      </c>
    </row>
    <row r="24" customFormat="false" ht="15" hidden="false" customHeight="false" outlineLevel="0" collapsed="false">
      <c r="A24" s="42" t="s">
        <v>170</v>
      </c>
    </row>
    <row r="25" customFormat="false" ht="26.85" hidden="false" customHeight="false" outlineLevel="0" collapsed="false">
      <c r="A25" s="42" t="s">
        <v>171</v>
      </c>
    </row>
    <row r="27" customFormat="false" ht="15" hidden="false" customHeight="false" outlineLevel="0" collapsed="false">
      <c r="A27" s="42" t="s">
        <v>172</v>
      </c>
    </row>
    <row r="28" customFormat="false" ht="15" hidden="false" customHeight="false" outlineLevel="0" collapsed="false">
      <c r="A28" s="42" t="s">
        <v>173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2026-09-12T05:55:06Z</dcterms:created>
  <dc:creator>openpyxl</dc:creator>
  <dc:description/>
  <dc:language>en-US</dc:language>
  <cp:lastModifiedBy/>
  <dcterms:modified xsi:type="dcterms:W3CDTF">2026-09-12T05:55:06Z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
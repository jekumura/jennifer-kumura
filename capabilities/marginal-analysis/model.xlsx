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Calculations" sheetId="3" state="visible" r:id="rId5"/>
    <sheet name="Solver" sheetId="4" state="visible" r:id="rId6"/>
    <sheet name="Notes" sheetId="5" state="visible" r:id="rId7"/>
  </sheets>
  <definedNames>
    <definedName function="false" hidden="false" name="Beds_Carrot" vbProcedure="false">Solver!$C$7</definedName>
    <definedName function="false" hidden="false" name="Beds_Mesclun" vbProcedure="false">Solver!$C$8</definedName>
    <definedName function="false" hidden="false" name="Beds_Tomato" vbProcedure="false">Solver!$C$6</definedName>
    <definedName function="false" hidden="false" name="Carrot_Base_Labor_Hrs_Wk_Bed" vbProcedure="false">Inputs!$C$25</definedName>
    <definedName function="false" hidden="false" name="Carrot_Bed_Cap" vbProcedure="false">Inputs!$C$7</definedName>
    <definedName function="false" hidden="false" name="Carrot_Diminishing_Rate" vbProcedure="false">Inputs!$C$28</definedName>
    <definedName function="false" hidden="false" name="Carrot_Fertilizer_Per_Bed" vbProcedure="false">Inputs!$C$22</definedName>
    <definedName function="false" hidden="false" name="Carrot_Price" vbProcedure="false">Inputs!$C$19</definedName>
    <definedName function="false" hidden="false" name="Farmer_Implied_Wage" vbProcedure="false">Inputs!$C$12</definedName>
    <definedName function="false" hidden="false" name="Farmer_Salary" vbProcedure="false">Inputs!$C$11</definedName>
    <definedName function="false" hidden="false" name="Fixed_Cost" vbProcedure="false">Inputs!$C$10</definedName>
    <definedName function="false" hidden="false" name="Mesclun_Base_Labor_Hrs_Wk_Bed" vbProcedure="false">Inputs!$C$26</definedName>
    <definedName function="false" hidden="false" name="Mesclun_Bed_Cap" vbProcedure="false">Inputs!$C$8</definedName>
    <definedName function="false" hidden="false" name="Mesclun_Diminishing_Rate" vbProcedure="false">Inputs!$C$29</definedName>
    <definedName function="false" hidden="false" name="Mesclun_Fertilizer_Per_Bed" vbProcedure="false">Inputs!$C$23</definedName>
    <definedName function="false" hidden="false" name="Mesclun_Price" vbProcedure="false">Inputs!$C$20</definedName>
    <definedName function="false" hidden="false" name="Own_Labor_Hours" vbProcedure="false">Inputs!$C$13</definedName>
    <definedName function="false" hidden="false" name="Season_Weeks" vbProcedure="false">Inputs!$C$9</definedName>
    <definedName function="false" hidden="false" name="Temp_Wage_Per_Hour" vbProcedure="false">Inputs!$C$17</definedName>
    <definedName function="false" hidden="false" name="Temp_Workers_Hired" vbProcedure="false">Solver!$C$9</definedName>
    <definedName function="false" hidden="false" name="Temp_Worker_Flat_Cost" vbProcedure="false">Inputs!$C$15</definedName>
    <definedName function="false" hidden="false" name="Temp_Worker_Hours" vbProcedure="false">Inputs!$C$16</definedName>
    <definedName function="false" hidden="false" name="Temp_Worker_Max" vbProcedure="false">Inputs!$C$14</definedName>
    <definedName function="false" hidden="false" name="Tomato_Base_Labor_Hrs_Wk_Bed" vbProcedure="false">Inputs!$C$24</definedName>
    <definedName function="false" hidden="false" name="Tomato_Bed_Cap" vbProcedure="false">Inputs!$C$6</definedName>
    <definedName function="false" hidden="false" name="Tomato_Diminishing_Rate" vbProcedure="false">Inputs!$C$27</definedName>
    <definedName function="false" hidden="false" name="Tomato_Fertilizer_Per_Bed" vbProcedure="false">Inputs!$C$21</definedName>
    <definedName function="false" hidden="false" name="Tomato_Price" vbProcedure="false">Inputs!$C$18</definedName>
    <definedName function="false" hidden="false" name="Total_Beds" vbProcedure="false">Inputs!$C$5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<sst xmlns="http://schemas.openxmlformats.org/spreadsheetml/2006/main" count="194" uniqueCount="154">
  <si>
    <t xml:space="preserve">Summary — Market Garden Bed Allocation</t>
  </si>
  <si>
    <t xml:space="preserve">perfect-competition engagement · marginal-analysis capability · see Solver tab to change the allocation</t>
  </si>
  <si>
    <t xml:space="preserve">Allocation</t>
  </si>
  <si>
    <t xml:space="preserve">Crop</t>
  </si>
  <si>
    <t xml:space="preserve">Beds</t>
  </si>
  <si>
    <t xml:space="preserve">Price/bed</t>
  </si>
  <si>
    <t xml:space="preserve">Fertilizer/bed</t>
  </si>
  <si>
    <t xml:space="preserve">Revenue</t>
  </si>
  <si>
    <t xml:space="preserve">Tomato</t>
  </si>
  <si>
    <t xml:space="preserve">Carrot</t>
  </si>
  <si>
    <t xml:space="preserve">Mesclun</t>
  </si>
  <si>
    <t xml:space="preserve">Total beds</t>
  </si>
  <si>
    <t xml:space="preserve">Labor &amp; Cost Summary</t>
  </si>
  <si>
    <t xml:space="preserve">Temp workers hired</t>
  </si>
  <si>
    <t xml:space="preserve">Total labor hours needed</t>
  </si>
  <si>
    <t xml:space="preserve">Labor capacity (own + hired)</t>
  </si>
  <si>
    <t xml:space="preserve">Fertilizer cost</t>
  </si>
  <si>
    <t xml:space="preserve">Labor cost</t>
  </si>
  <si>
    <t xml:space="preserve">Temp-worker hiring cost</t>
  </si>
  <si>
    <t xml:space="preserve">Total Contribution</t>
  </si>
  <si>
    <t xml:space="preserve">Fixed Cost</t>
  </si>
  <si>
    <t xml:space="preserve">Farmer Salary</t>
  </si>
  <si>
    <t xml:space="preserve">Net Profit</t>
  </si>
  <si>
    <t xml:space="preserve">Hypothesis Verdict (spec §7/§9 — current hypothesis: mesclun &gt; carrots &gt; tomatoes)</t>
  </si>
  <si>
    <t xml:space="preserve">Check 1 — Carrots &gt; Mesclun beds?</t>
  </si>
  <si>
    <t xml:space="preserve">Check 5 — Swap test (Mesclun-1/Carrot+1) verdict</t>
  </si>
  <si>
    <t xml:space="preserve">Checks 2-4 require manual re-runs — see Notes tab.</t>
  </si>
  <si>
    <t xml:space="preserve">Inputs — Market Garden Bed Allocation</t>
  </si>
  <si>
    <t xml:space="preserve">capabilities/marginal-analysis · perfect-competition engagement · edit only the yellow cells</t>
  </si>
  <si>
    <t xml:space="preserve">Category</t>
  </si>
  <si>
    <t xml:space="preserve">Named Range</t>
  </si>
  <si>
    <t xml:space="preserve">Value</t>
  </si>
  <si>
    <t xml:space="preserve">Unit</t>
  </si>
  <si>
    <t xml:space="preserve">Bed capacity</t>
  </si>
  <si>
    <t xml:space="preserve">Total_Beds</t>
  </si>
  <si>
    <t xml:space="preserve">beds</t>
  </si>
  <si>
    <t xml:space="preserve">Tomato_Bed_Cap</t>
  </si>
  <si>
    <t xml:space="preserve">Carrot_Bed_Cap</t>
  </si>
  <si>
    <t xml:space="preserve">Mesclun_Bed_Cap</t>
  </si>
  <si>
    <t xml:space="preserve">Season</t>
  </si>
  <si>
    <t xml:space="preserve">Season_Weeks</t>
  </si>
  <si>
    <t xml:space="preserve">weeks</t>
  </si>
  <si>
    <t xml:space="preserve">Fixed costs</t>
  </si>
  <si>
    <t xml:space="preserve">Fixed_Cost</t>
  </si>
  <si>
    <t xml:space="preserve">$</t>
  </si>
  <si>
    <t xml:space="preserve">Farmer_Salary</t>
  </si>
  <si>
    <t xml:space="preserve">$/season</t>
  </si>
  <si>
    <t xml:space="preserve">Farmer_Implied_Wage</t>
  </si>
  <si>
    <t xml:space="preserve">$/hr</t>
  </si>
  <si>
    <t xml:space="preserve">Labor pool</t>
  </si>
  <si>
    <t xml:space="preserve">Own_Labor_Hours</t>
  </si>
  <si>
    <t xml:space="preserve">hrs</t>
  </si>
  <si>
    <t xml:space="preserve">Temp_Worker_Max</t>
  </si>
  <si>
    <t xml:space="preserve">workers</t>
  </si>
  <si>
    <t xml:space="preserve">Temp_Worker_Flat_Cost</t>
  </si>
  <si>
    <t xml:space="preserve">$/worker</t>
  </si>
  <si>
    <t xml:space="preserve">Temp_Worker_Hours</t>
  </si>
  <si>
    <t xml:space="preserve">hrs/worker</t>
  </si>
  <si>
    <t xml:space="preserve">Temp_Wage_Per_Hour</t>
  </si>
  <si>
    <t xml:space="preserve">Crop economics</t>
  </si>
  <si>
    <t xml:space="preserve">Tomato_Price</t>
  </si>
  <si>
    <t xml:space="preserve">$/bed</t>
  </si>
  <si>
    <t xml:space="preserve">Carrot_Price</t>
  </si>
  <si>
    <t xml:space="preserve">Mesclun_Price</t>
  </si>
  <si>
    <t xml:space="preserve">Tomato_Fertilizer_Per_Bed</t>
  </si>
  <si>
    <t xml:space="preserve">Carrot_Fertilizer_Per_Bed</t>
  </si>
  <si>
    <t xml:space="preserve">Mesclun_Fertilizer_Per_Bed</t>
  </si>
  <si>
    <t xml:space="preserve">Tomato_Base_Labor_Hrs_Wk_Bed</t>
  </si>
  <si>
    <t xml:space="preserve">hrs/wk/bed</t>
  </si>
  <si>
    <t xml:space="preserve">Carrot_Base_Labor_Hrs_Wk_Bed</t>
  </si>
  <si>
    <t xml:space="preserve">Mesclun_Base_Labor_Hrs_Wk_Bed</t>
  </si>
  <si>
    <t xml:space="preserve">Tomato_Diminishing_Rate</t>
  </si>
  <si>
    <t xml:space="preserve">%/bed</t>
  </si>
  <si>
    <t xml:space="preserve">Carrot_Diminishing_Rate</t>
  </si>
  <si>
    <t xml:space="preserve">Mesclun_Diminishing_Rate</t>
  </si>
  <si>
    <t xml:space="preserve">Calculations — Per-Crop Marginal Cost Curves</t>
  </si>
  <si>
    <t xml:space="preserve">Marginal cost approximates labor at the temp wage rate throughout (see spec §5) — the standalone, back-of-envelope check per crop, not the joint answer. Joint totals below use the true shared-pool logic.</t>
  </si>
  <si>
    <t xml:space="preserve">Bed #</t>
  </si>
  <si>
    <t xml:space="preserve">Marginal Hrs</t>
  </si>
  <si>
    <t xml:space="preserve">Cumulative Hrs</t>
  </si>
  <si>
    <t xml:space="preserve">Marg. Cost (@temp rate)</t>
  </si>
  <si>
    <t xml:space="preserve">Marg. Contribution</t>
  </si>
  <si>
    <t xml:space="preserve">Cumul. Contribution</t>
  </si>
  <si>
    <t xml:space="preserve">Standalone crossover (beds where marg. contrib. &gt;= 0):</t>
  </si>
  <si>
    <t xml:space="preserve">Joint Allocation (decision cells live on the Solver tab)</t>
  </si>
  <si>
    <t xml:space="preserve">Beds — Tomato (from Solver)</t>
  </si>
  <si>
    <t xml:space="preserve">Beds — Carrot (from Solver)</t>
  </si>
  <si>
    <t xml:space="preserve">Beds — Mesclun (from Solver)</t>
  </si>
  <si>
    <t xml:space="preserve">Temp workers hired (from Solver)</t>
  </si>
  <si>
    <t xml:space="preserve">Cumulative labor hrs — Tomato @ chosen beds</t>
  </si>
  <si>
    <t xml:space="preserve">Cumulative labor hrs — Carrot @ chosen beds</t>
  </si>
  <si>
    <t xml:space="preserve">Cumulative labor hrs — Mesclun @ chosen beds</t>
  </si>
  <si>
    <t xml:space="preserve">Labor cost (temp rate beyond Own_Labor_Hours)</t>
  </si>
  <si>
    <t xml:space="preserve">Temp-worker hiring cost (lumpy)</t>
  </si>
  <si>
    <t xml:space="preserve">Net Profit (after Fixed_Cost + Farmer_Salary)</t>
  </si>
  <si>
    <t xml:space="preserve">Validation Checks</t>
  </si>
  <si>
    <t xml:space="preserve">Tomato beds &lt;= cap</t>
  </si>
  <si>
    <t xml:space="preserve">Carrot beds &lt;= cap</t>
  </si>
  <si>
    <t xml:space="preserve">Mesclun beds &lt;= cap</t>
  </si>
  <si>
    <t xml:space="preserve">Total beds &lt;= Total_Beds</t>
  </si>
  <si>
    <t xml:space="preserve">Temp workers integer, 0 &lt;= n &lt;= Temp_Worker_Max</t>
  </si>
  <si>
    <t xml:space="preserve">Labor hours covered by own + hired capacity</t>
  </si>
  <si>
    <t xml:space="preserve">Hypothesis Checks (spec §7 — current hypothesis: mesclun &gt; carrots &gt; tomatoes)</t>
  </si>
  <si>
    <t xml:space="preserve">Check 1 — Carrots &gt; Mesclun beds? (mesclun's edge fails if TRUE)</t>
  </si>
  <si>
    <t xml:space="preserve">Checks 2-4 (equalize fertilizer / equalize labor rate / mesclun-carrot crossover bed) require manually varying Inputs and re-solving — see Notes tab for procedure.</t>
  </si>
  <si>
    <t xml:space="preserve">Check 5 — Swap test: Mesclun -1 bed, Carrot +1 bed</t>
  </si>
  <si>
    <t xml:space="preserve">Cumulative hrs — Carrot @ swapped beds</t>
  </si>
  <si>
    <t xml:space="preserve">Cumulative hrs — Mesclun @ swapped beds</t>
  </si>
  <si>
    <t xml:space="preserve">Total labor hours needed (swapped)</t>
  </si>
  <si>
    <t xml:space="preserve">Temp workers needed (swapped)</t>
  </si>
  <si>
    <t xml:space="preserve">Total Contribution (swapped)</t>
  </si>
  <si>
    <t xml:space="preserve">Delta vs. current allocation</t>
  </si>
  <si>
    <t xml:space="preserve">Verdict</t>
  </si>
  <si>
    <t xml:space="preserve">Solver — Decision Variables &amp; Setup</t>
  </si>
  <si>
    <t xml:space="preserve">Values below are the true optimum (exhaustive search over the full integer decision space — see Notes). Change them to explore other allocations; Excel Solver instructions are in Notes.</t>
  </si>
  <si>
    <t xml:space="preserve">Decision Variables (Solver's "changing cells")</t>
  </si>
  <si>
    <t xml:space="preserve">Beds — Tomato</t>
  </si>
  <si>
    <t xml:space="preserve">Beds — Carrot</t>
  </si>
  <si>
    <t xml:space="preserve">Beds — Mesclun</t>
  </si>
  <si>
    <t xml:space="preserve">Objective (Solver's "Set Objective" cell) — Maximize</t>
  </si>
  <si>
    <t xml:space="preserve">Constraints</t>
  </si>
  <si>
    <t xml:space="preserve">• Beds_Tomato &lt;= Tomato_Bed_Cap    (Inputs!C6)</t>
  </si>
  <si>
    <t xml:space="preserve">• Beds_Carrot &lt;= Carrot_Bed_Cap    (Inputs!C7)</t>
  </si>
  <si>
    <t xml:space="preserve">• Beds_Mesclun &lt;= Mesclun_Bed_Cap  (Inputs!C8)</t>
  </si>
  <si>
    <t xml:space="preserve">• Beds_Tomato + Beds_Carrot + Beds_Mesclun &lt;= Total_Beds (Inputs!C5)</t>
  </si>
  <si>
    <t xml:space="preserve">• Total labor hours needed &lt;= Own_Labor_Hours + Temp_Workers_Hired x Temp_Worker_Hours</t>
  </si>
  <si>
    <t xml:space="preserve">• 0 &lt;= Temp_Workers_Hired &lt;= Temp_Worker_Max, integer</t>
  </si>
  <si>
    <t xml:space="preserve">• All beds &gt;= 0, integer</t>
  </si>
  <si>
    <t xml:space="preserve">Live constraint checks (linked from Calculations)</t>
  </si>
  <si>
    <t xml:space="preserve">Temp workers valid (integer 0-4)</t>
  </si>
  <si>
    <t xml:space="preserve">Labor hours covered</t>
  </si>
  <si>
    <t xml:space="preserve">To re-run in Excel: Data tab &gt; Solver &gt; Set Objective = C11, To: Max, By Changing Variable Cells = C6:C9, Add the constraints above, Solving Method = Evolutionary (recommended — the temp-worker cost step function isn't smooth), then Solve.</t>
  </si>
  <si>
    <t xml:space="preserve">Notes — Market Garden Bed Allocation Model</t>
  </si>
  <si>
    <t xml:space="preserve">What this model does</t>
  </si>
  <si>
    <t xml:space="preserve">Chooses how many of 64 beds to plant with tomatoes, carrots, and mesclun (one 36-week season, no mid-season replanting), and how many temp workers (0-4) to hire, to maximize total season contribution net of fixed costs. See capabilities/marginal-analysis/spec.md for the full spec.</t>
  </si>
  <si>
    <t xml:space="preserve">Data sources</t>
  </si>
  <si>
    <t xml:space="preserve">- docs/briefs/perfect-competition-brief.md — problem framing, fixed/chosen variables, assumptions, hypothesis and falsification criteria.</t>
  </si>
  <si>
    <t xml:space="preserve">- Case materials (crop economics table supplied by the engagement owner) — per-crop price, fertilizer $/bed, base labor hrs/wk/bed, diminishing-returns rate; farmer salary and temp-worker terms.</t>
  </si>
  <si>
    <t xml:space="preserve">Key assumptions (from the brief's "What I am assuming")</t>
  </si>
  <si>
    <t xml:space="preserve">- Diminishing returns compound per additional bed of that crop, applied to labor hours only — price and fertilizer per bed stay flat regardless of bed count (price-taker).</t>
  </si>
  <si>
    <t xml:space="preserve">- An hour is an hour regardless of source: the farmer's own 720 hours are already paid for via her $50,000 season salary, so using them costs $0 at the margin; once those hours are exhausted, additional hours cost the temp wage ($17.36/hr). Because this is a pure threshold on total hours, the model computes it directly on total hours needed rather than tracking which crop "used" which hour.</t>
  </si>
  <si>
    <t xml:space="preserve">- Temp-worker hiring cost is a lumpy fixed cost per worker ($25,000), not a per-hour charge — owed in full the moment a worker is hired, whether 100 or all 1,440 of their hours are used.</t>
  </si>
  <si>
    <t xml:space="preserve">- The farmer's $50,000 salary is a season-long fixed cost independent of the planting decision, tracked separately from the brief's $20,000 general fixed cost (see spec §3).</t>
  </si>
  <si>
    <t xml:space="preserve">How the optimum was found</t>
  </si>
  <si>
    <t xml:space="preserve">The Solver tab's decision cells are pre-set to the true optimum, found by exhaustively evaluating every integer combination of beds-per-crop (within caps) and temp workers (0-4) against the total-contribution formula — not just the three crops' independent crossover points. This matters here: the optimal allocation is NOT corner-heavy on any crop or near the 64-bed / 6,480-hour caps. Each crop's own diminishing-returns curve crosses its price well before those caps bind.</t>
  </si>
  <si>
    <t xml:space="preserve">If you change any Input, the Solver decision cells will NOT auto-update (they're independent "changing cells", not formulas) — re-run Excel Solver (Data &gt; Solver) or re-derive the optimum manually to find the new best allocation.</t>
  </si>
  <si>
    <t xml:space="preserve">Running Excel Solver</t>
  </si>
  <si>
    <t xml:space="preserve">Data tab &gt; Solver (enable the Solver add-in first if it's not in the ribbon: File &gt; Options &gt; Add-ins &gt; Manage: Excel Add-ins &gt; Go &gt; check "Solver Add-in"). Set Objective: Solver!$C$11 (Max). By Changing Variable Cells: Solver!$C$6:$C$9. Add the constraints listed on the Solver tab. Solving Method: Evolutionary is recommended over GRG Nonlinear or Simplex LP — the temp-worker hiring cost is a discrete step function, not smooth, which can trap gradient-based methods at a local optimum.</t>
  </si>
  <si>
    <t xml:space="preserve">Manual sensitivity checks (spec §7, checks 2-4 — not automated in this workbook)</t>
  </si>
  <si>
    <t xml:space="preserve">Check 2 (equalize fertilizer cost): temporarily set Tomato/Carrot/Mesclun_Fertilizer_Per_Bed to the same value on the Inputs tab, re-run Solver, and see whether tomatoes still land last. Revert after.</t>
  </si>
  <si>
    <t xml:space="preserve">Check 3 (equalize labor rate): same procedure, but temporarily equalize the three *_Base_Labor_Hrs_Wk_Bed values instead. Revert after.</t>
  </si>
  <si>
    <t xml:space="preserve">Check 4 (mesclun-carrot crossover bed): compare the Mesclun and Carrot blocks' "Marg. Contribution" columns on the Calculations tab bed-by-bed to find where mesclun's marginal return first drops below carrot's, and record that bed number.</t>
  </si>
  <si>
    <t xml:space="preserve">Date built: 2026-08-24 · Engagement: perfect-competition · Capability: marginal-analysis</t>
  </si>
  <si>
    <t xml:space="preserve">AI-assisted build — logged in prompt-log.md per docs/standards/excel-formatting.md.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</si>
</sst>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\$#,##0"/>
    <numFmt numFmtId="167" formatCode="0.00"/>
    <numFmt numFmtId="168" formatCode="\$#,##0.00"/>
    <numFmt numFmtId="169" formatCode="0.000"/>
    <numFmt numFmtId="170" formatCode="0.00%"/>
    <numFmt numFmtId="171" formatCode="\$#,##0.00;&quot;($&quot;#,##0.00\)"/>
    <numFmt numFmtId="172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2F3"/>
      </patternFill>
    </fill>
    <fill>
      <patternFill patternType="solid">
        <fgColor rgb="FFFFF2CC"/>
        <bgColor rgb="FFE2EFDA"/>
      </patternFill>
    </fill>
    <fill>
      <patternFill patternType="solid">
        <fgColor rgb="FFD9E2F3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12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2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9" fontId="12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0" fontId="12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6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FF0000"/>
      </font>
    </dxf>
    <dxf>
      <font>
        <name val="Arial"/>
        <charset val="1"/>
        <family val="0"/>
        <b val="1"/>
        <color rgb="FF008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5" min="3" style="0" width="16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</row>
    <row r="6" customFormat="false" ht="15" hidden="false" customHeight="false" outlineLevel="0" collapsed="false">
      <c r="A6" s="5" t="s">
        <v>8</v>
      </c>
      <c r="B6" s="6" t="n">
        <f aca="false">Calculations!$E$39</f>
        <v>10</v>
      </c>
      <c r="C6" s="7" t="n">
        <f aca="false">Tomato_Price</f>
        <v>8800</v>
      </c>
      <c r="D6" s="7" t="n">
        <f aca="false">Tomato_Fertilizer_Per_Bed</f>
        <v>880</v>
      </c>
      <c r="E6" s="7" t="n">
        <f aca="false">B6*C6</f>
        <v>88000</v>
      </c>
    </row>
    <row r="7" customFormat="false" ht="15" hidden="false" customHeight="false" outlineLevel="0" collapsed="false">
      <c r="A7" s="5" t="s">
        <v>9</v>
      </c>
      <c r="B7" s="6" t="n">
        <f aca="false">Calculations!$E$40</f>
        <v>15</v>
      </c>
      <c r="C7" s="7" t="n">
        <f aca="false">Carrot_Price</f>
        <v>2094</v>
      </c>
      <c r="D7" s="7" t="n">
        <f aca="false">Carrot_Fertilizer_Per_Bed</f>
        <v>440</v>
      </c>
      <c r="E7" s="7" t="n">
        <f aca="false">B7*C7</f>
        <v>31410</v>
      </c>
    </row>
    <row r="8" customFormat="false" ht="15" hidden="false" customHeight="false" outlineLevel="0" collapsed="false">
      <c r="A8" s="5" t="s">
        <v>10</v>
      </c>
      <c r="B8" s="6" t="n">
        <f aca="false">Calculations!$E$41</f>
        <v>4</v>
      </c>
      <c r="C8" s="7" t="n">
        <f aca="false">Mesclun_Price</f>
        <v>2700</v>
      </c>
      <c r="D8" s="7" t="n">
        <f aca="false">Mesclun_Fertilizer_Per_Bed</f>
        <v>880</v>
      </c>
      <c r="E8" s="7" t="n">
        <f aca="false">B8*C8</f>
        <v>10800</v>
      </c>
    </row>
    <row r="9" customFormat="false" ht="15" hidden="false" customHeight="false" outlineLevel="0" collapsed="false">
      <c r="A9" s="8" t="s">
        <v>11</v>
      </c>
      <c r="B9" s="9" t="n">
        <f aca="false">SUM(B6:B8)</f>
        <v>29</v>
      </c>
    </row>
    <row r="11" customFormat="false" ht="15" hidden="false" customHeight="false" outlineLevel="0" collapsed="false">
      <c r="A11" s="3" t="s">
        <v>12</v>
      </c>
      <c r="B11" s="3"/>
      <c r="C11" s="3"/>
      <c r="D11" s="3"/>
      <c r="E11" s="3"/>
    </row>
    <row r="12" customFormat="false" ht="15" hidden="false" customHeight="false" outlineLevel="0" collapsed="false">
      <c r="A12" s="10" t="s">
        <v>13</v>
      </c>
      <c r="B12" s="10"/>
      <c r="C12" s="10"/>
      <c r="D12" s="6" t="n">
        <f aca="false">Calculations!$E$42</f>
        <v>1</v>
      </c>
    </row>
    <row r="13" customFormat="false" ht="15" hidden="false" customHeight="false" outlineLevel="0" collapsed="false">
      <c r="A13" s="10" t="s">
        <v>14</v>
      </c>
      <c r="B13" s="10"/>
      <c r="C13" s="10"/>
      <c r="D13" s="11" t="n">
        <f aca="false">Calculations!$E$46</f>
        <v>2155.51404365844</v>
      </c>
    </row>
    <row r="14" customFormat="false" ht="15" hidden="false" customHeight="false" outlineLevel="0" collapsed="false">
      <c r="A14" s="10" t="s">
        <v>15</v>
      </c>
      <c r="B14" s="10"/>
      <c r="C14" s="10"/>
      <c r="D14" s="12" t="n">
        <f aca="false">Own_Labor_Hours+Calculations!$E$42*Temp_Worker_Hours</f>
        <v>2160</v>
      </c>
    </row>
    <row r="15" customFormat="false" ht="15" hidden="false" customHeight="false" outlineLevel="0" collapsed="false">
      <c r="A15" s="10" t="s">
        <v>7</v>
      </c>
      <c r="B15" s="10"/>
      <c r="C15" s="10"/>
      <c r="D15" s="13" t="n">
        <f aca="false">Calculations!$E$49</f>
        <v>130210</v>
      </c>
    </row>
    <row r="16" customFormat="false" ht="15" hidden="false" customHeight="false" outlineLevel="0" collapsed="false">
      <c r="A16" s="10" t="s">
        <v>16</v>
      </c>
      <c r="B16" s="10"/>
      <c r="C16" s="10"/>
      <c r="D16" s="13" t="n">
        <f aca="false">Calculations!$E$50</f>
        <v>18920</v>
      </c>
    </row>
    <row r="17" customFormat="false" ht="15" hidden="false" customHeight="false" outlineLevel="0" collapsed="false">
      <c r="A17" s="10" t="s">
        <v>17</v>
      </c>
      <c r="B17" s="10"/>
      <c r="C17" s="10"/>
      <c r="D17" s="13" t="n">
        <f aca="false">Calculations!$E$47</f>
        <v>24920.5237979105</v>
      </c>
    </row>
    <row r="18" customFormat="false" ht="15" hidden="false" customHeight="false" outlineLevel="0" collapsed="false">
      <c r="A18" s="10" t="s">
        <v>18</v>
      </c>
      <c r="B18" s="10"/>
      <c r="C18" s="10"/>
      <c r="D18" s="13" t="n">
        <f aca="false">Calculations!$E$48</f>
        <v>25000</v>
      </c>
    </row>
    <row r="19" customFormat="false" ht="15" hidden="false" customHeight="false" outlineLevel="0" collapsed="false">
      <c r="A19" s="14" t="s">
        <v>19</v>
      </c>
      <c r="B19" s="14"/>
      <c r="C19" s="14"/>
      <c r="D19" s="15" t="n">
        <f aca="false">Calculations!$E$51</f>
        <v>61369.4762020895</v>
      </c>
    </row>
    <row r="20" customFormat="false" ht="15" hidden="false" customHeight="false" outlineLevel="0" collapsed="false">
      <c r="A20" s="10" t="s">
        <v>20</v>
      </c>
      <c r="B20" s="10"/>
      <c r="C20" s="10"/>
      <c r="D20" s="16" t="n">
        <f aca="false">Fixed_Cost</f>
        <v>20000</v>
      </c>
    </row>
    <row r="21" customFormat="false" ht="15" hidden="false" customHeight="false" outlineLevel="0" collapsed="false">
      <c r="A21" s="10" t="s">
        <v>21</v>
      </c>
      <c r="B21" s="10"/>
      <c r="C21" s="10"/>
      <c r="D21" s="16" t="n">
        <f aca="false">Farmer_Salary</f>
        <v>50000</v>
      </c>
    </row>
    <row r="22" customFormat="false" ht="15" hidden="false" customHeight="false" outlineLevel="0" collapsed="false">
      <c r="A22" s="14" t="s">
        <v>22</v>
      </c>
      <c r="B22" s="14"/>
      <c r="C22" s="14"/>
      <c r="D22" s="15" t="n">
        <f aca="false">Calculations!$E$52</f>
        <v>-8630.52379791052</v>
      </c>
    </row>
    <row r="24" customFormat="false" ht="15" hidden="false" customHeight="false" outlineLevel="0" collapsed="false">
      <c r="A24" s="3" t="s">
        <v>23</v>
      </c>
      <c r="B24" s="3"/>
      <c r="C24" s="3"/>
      <c r="D24" s="3"/>
      <c r="E24" s="3"/>
    </row>
    <row r="25" customFormat="false" ht="15" hidden="false" customHeight="false" outlineLevel="0" collapsed="false">
      <c r="A25" s="17" t="s">
        <v>24</v>
      </c>
      <c r="B25" s="17"/>
      <c r="C25" s="17"/>
      <c r="D25" s="18" t="str">
        <f aca="false">Calculations!$E$64</f>
        <v>FAILS - carrots &gt; mesclun</v>
      </c>
    </row>
    <row r="26" customFormat="false" ht="15" hidden="false" customHeight="false" outlineLevel="0" collapsed="false">
      <c r="A26" s="17" t="s">
        <v>25</v>
      </c>
      <c r="B26" s="17"/>
      <c r="C26" s="17"/>
      <c r="D26" s="18" t="str">
        <f aca="false">Calculations!$E$73</f>
        <v>holds - current mix is locally optimal for this swap</v>
      </c>
    </row>
    <row r="27" customFormat="false" ht="15" hidden="false" customHeight="false" outlineLevel="0" collapsed="false">
      <c r="A27" s="2" t="s">
        <v>26</v>
      </c>
      <c r="B27" s="2"/>
      <c r="C27" s="2"/>
      <c r="D27" s="2"/>
      <c r="E27" s="2"/>
    </row>
  </sheetData>
  <sheetProtection sheet="true"/>
  <mergeCells count="19">
    <mergeCell ref="A1:E1"/>
    <mergeCell ref="A2:E2"/>
    <mergeCell ref="A4:E4"/>
    <mergeCell ref="A11:E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4:E24"/>
    <mergeCell ref="A25:C25"/>
    <mergeCell ref="A26:C26"/>
    <mergeCell ref="A27:E27"/>
  </mergeCells>
  <conditionalFormatting sqref="D25">
    <cfRule type="expression" priority="2" aboveAverage="0" equalAverage="0" bottom="0" percent="0" rank="0" text="" dxfId="0">
      <formula>ISNUMBER(SEARCH("FAILS",D25))</formula>
    </cfRule>
  </conditionalFormatting>
  <conditionalFormatting sqref="D26">
    <cfRule type="expression" priority="3" aboveAverage="0" equalAverage="0" bottom="0" percent="0" rank="0" text="" dxfId="0">
      <formula>ISNUMBER(SEARCH("FAILS",D26))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0"/>
    <col collapsed="false" customWidth="true" hidden="false" outlineLevel="0" max="4" min="3" style="0" width="14"/>
  </cols>
  <sheetData>
    <row r="1" customFormat="false" ht="17.35" hidden="false" customHeight="false" outlineLevel="0" collapsed="false">
      <c r="A1" s="1" t="s">
        <v>27</v>
      </c>
      <c r="B1" s="1"/>
      <c r="C1" s="1"/>
      <c r="D1" s="1"/>
    </row>
    <row r="2" customFormat="false" ht="15" hidden="false" customHeight="false" outlineLevel="0" collapsed="false">
      <c r="A2" s="2" t="s">
        <v>28</v>
      </c>
      <c r="B2" s="2"/>
      <c r="C2" s="2"/>
      <c r="D2" s="2"/>
    </row>
    <row r="4" customFormat="false" ht="15" hidden="false" customHeight="false" outlineLevel="0" collapsed="false">
      <c r="A4" s="4" t="s">
        <v>29</v>
      </c>
      <c r="B4" s="4" t="s">
        <v>30</v>
      </c>
      <c r="C4" s="4" t="s">
        <v>31</v>
      </c>
      <c r="D4" s="4" t="s">
        <v>32</v>
      </c>
    </row>
    <row r="5" customFormat="false" ht="15" hidden="false" customHeight="false" outlineLevel="0" collapsed="false">
      <c r="A5" s="19" t="s">
        <v>33</v>
      </c>
      <c r="B5" s="20" t="s">
        <v>34</v>
      </c>
      <c r="C5" s="21" t="n">
        <v>64</v>
      </c>
      <c r="D5" s="19" t="s">
        <v>35</v>
      </c>
    </row>
    <row r="6" customFormat="false" ht="15" hidden="false" customHeight="false" outlineLevel="0" collapsed="false">
      <c r="A6" s="19"/>
      <c r="B6" s="20" t="s">
        <v>36</v>
      </c>
      <c r="C6" s="21" t="n">
        <v>20</v>
      </c>
      <c r="D6" s="19" t="s">
        <v>35</v>
      </c>
    </row>
    <row r="7" customFormat="false" ht="15" hidden="false" customHeight="false" outlineLevel="0" collapsed="false">
      <c r="A7" s="19"/>
      <c r="B7" s="20" t="s">
        <v>37</v>
      </c>
      <c r="C7" s="21" t="n">
        <v>20</v>
      </c>
      <c r="D7" s="19" t="s">
        <v>35</v>
      </c>
    </row>
    <row r="8" customFormat="false" ht="15" hidden="false" customHeight="false" outlineLevel="0" collapsed="false">
      <c r="A8" s="19"/>
      <c r="B8" s="20" t="s">
        <v>38</v>
      </c>
      <c r="C8" s="21" t="n">
        <v>30</v>
      </c>
      <c r="D8" s="19" t="s">
        <v>35</v>
      </c>
    </row>
    <row r="9" customFormat="false" ht="15" hidden="false" customHeight="false" outlineLevel="0" collapsed="false">
      <c r="A9" s="19" t="s">
        <v>39</v>
      </c>
      <c r="B9" s="20" t="s">
        <v>40</v>
      </c>
      <c r="C9" s="21" t="n">
        <v>36</v>
      </c>
      <c r="D9" s="19" t="s">
        <v>41</v>
      </c>
    </row>
    <row r="10" customFormat="false" ht="15" hidden="false" customHeight="false" outlineLevel="0" collapsed="false">
      <c r="A10" s="19" t="s">
        <v>42</v>
      </c>
      <c r="B10" s="20" t="s">
        <v>43</v>
      </c>
      <c r="C10" s="22" t="n">
        <v>20000</v>
      </c>
      <c r="D10" s="19" t="s">
        <v>44</v>
      </c>
    </row>
    <row r="11" customFormat="false" ht="15" hidden="false" customHeight="false" outlineLevel="0" collapsed="false">
      <c r="A11" s="19"/>
      <c r="B11" s="20" t="s">
        <v>45</v>
      </c>
      <c r="C11" s="22" t="n">
        <v>50000</v>
      </c>
      <c r="D11" s="19" t="s">
        <v>46</v>
      </c>
    </row>
    <row r="12" customFormat="false" ht="15" hidden="false" customHeight="false" outlineLevel="0" collapsed="false">
      <c r="A12" s="19"/>
      <c r="B12" s="20" t="s">
        <v>47</v>
      </c>
      <c r="C12" s="23" t="n">
        <v>34.72</v>
      </c>
      <c r="D12" s="19" t="s">
        <v>48</v>
      </c>
    </row>
    <row r="13" customFormat="false" ht="15" hidden="false" customHeight="false" outlineLevel="0" collapsed="false">
      <c r="A13" s="19" t="s">
        <v>49</v>
      </c>
      <c r="B13" s="20" t="s">
        <v>50</v>
      </c>
      <c r="C13" s="21" t="n">
        <v>720</v>
      </c>
      <c r="D13" s="19" t="s">
        <v>51</v>
      </c>
    </row>
    <row r="14" customFormat="false" ht="15" hidden="false" customHeight="false" outlineLevel="0" collapsed="false">
      <c r="A14" s="19"/>
      <c r="B14" s="20" t="s">
        <v>52</v>
      </c>
      <c r="C14" s="21" t="n">
        <v>4</v>
      </c>
      <c r="D14" s="19" t="s">
        <v>53</v>
      </c>
    </row>
    <row r="15" customFormat="false" ht="15" hidden="false" customHeight="false" outlineLevel="0" collapsed="false">
      <c r="A15" s="19"/>
      <c r="B15" s="20" t="s">
        <v>54</v>
      </c>
      <c r="C15" s="22" t="n">
        <v>25000</v>
      </c>
      <c r="D15" s="19" t="s">
        <v>55</v>
      </c>
    </row>
    <row r="16" customFormat="false" ht="15" hidden="false" customHeight="false" outlineLevel="0" collapsed="false">
      <c r="A16" s="19"/>
      <c r="B16" s="20" t="s">
        <v>56</v>
      </c>
      <c r="C16" s="21" t="n">
        <v>1440</v>
      </c>
      <c r="D16" s="19" t="s">
        <v>57</v>
      </c>
    </row>
    <row r="17" customFormat="false" ht="15" hidden="false" customHeight="false" outlineLevel="0" collapsed="false">
      <c r="A17" s="19"/>
      <c r="B17" s="20" t="s">
        <v>58</v>
      </c>
      <c r="C17" s="23" t="n">
        <v>17.36</v>
      </c>
      <c r="D17" s="19" t="s">
        <v>48</v>
      </c>
    </row>
    <row r="18" customFormat="false" ht="15" hidden="false" customHeight="false" outlineLevel="0" collapsed="false">
      <c r="A18" s="19" t="s">
        <v>59</v>
      </c>
      <c r="B18" s="20" t="s">
        <v>60</v>
      </c>
      <c r="C18" s="22" t="n">
        <v>8800</v>
      </c>
      <c r="D18" s="19" t="s">
        <v>61</v>
      </c>
    </row>
    <row r="19" customFormat="false" ht="15" hidden="false" customHeight="false" outlineLevel="0" collapsed="false">
      <c r="A19" s="19"/>
      <c r="B19" s="20" t="s">
        <v>62</v>
      </c>
      <c r="C19" s="22" t="n">
        <v>2094</v>
      </c>
      <c r="D19" s="19" t="s">
        <v>61</v>
      </c>
    </row>
    <row r="20" customFormat="false" ht="15" hidden="false" customHeight="false" outlineLevel="0" collapsed="false">
      <c r="A20" s="19"/>
      <c r="B20" s="20" t="s">
        <v>63</v>
      </c>
      <c r="C20" s="22" t="n">
        <v>2700</v>
      </c>
      <c r="D20" s="19" t="s">
        <v>61</v>
      </c>
    </row>
    <row r="21" customFormat="false" ht="15" hidden="false" customHeight="false" outlineLevel="0" collapsed="false">
      <c r="A21" s="19"/>
      <c r="B21" s="20" t="s">
        <v>64</v>
      </c>
      <c r="C21" s="22" t="n">
        <v>880</v>
      </c>
      <c r="D21" s="19" t="s">
        <v>61</v>
      </c>
    </row>
    <row r="22" customFormat="false" ht="15" hidden="false" customHeight="false" outlineLevel="0" collapsed="false">
      <c r="A22" s="19"/>
      <c r="B22" s="20" t="s">
        <v>65</v>
      </c>
      <c r="C22" s="22" t="n">
        <v>440</v>
      </c>
      <c r="D22" s="19" t="s">
        <v>61</v>
      </c>
    </row>
    <row r="23" customFormat="false" ht="15" hidden="false" customHeight="false" outlineLevel="0" collapsed="false">
      <c r="A23" s="19"/>
      <c r="B23" s="20" t="s">
        <v>66</v>
      </c>
      <c r="C23" s="22" t="n">
        <v>880</v>
      </c>
      <c r="D23" s="19" t="s">
        <v>61</v>
      </c>
    </row>
    <row r="24" customFormat="false" ht="15" hidden="false" customHeight="false" outlineLevel="0" collapsed="false">
      <c r="A24" s="19"/>
      <c r="B24" s="20" t="s">
        <v>67</v>
      </c>
      <c r="C24" s="24" t="n">
        <v>2.5</v>
      </c>
      <c r="D24" s="19" t="s">
        <v>68</v>
      </c>
    </row>
    <row r="25" customFormat="false" ht="15" hidden="false" customHeight="false" outlineLevel="0" collapsed="false">
      <c r="A25" s="19"/>
      <c r="B25" s="20" t="s">
        <v>69</v>
      </c>
      <c r="C25" s="24" t="n">
        <v>0.833</v>
      </c>
      <c r="D25" s="19" t="s">
        <v>68</v>
      </c>
    </row>
    <row r="26" customFormat="false" ht="15" hidden="false" customHeight="false" outlineLevel="0" collapsed="false">
      <c r="A26" s="19"/>
      <c r="B26" s="20" t="s">
        <v>70</v>
      </c>
      <c r="C26" s="24" t="n">
        <v>1.25</v>
      </c>
      <c r="D26" s="19" t="s">
        <v>68</v>
      </c>
    </row>
    <row r="27" customFormat="false" ht="15" hidden="false" customHeight="false" outlineLevel="0" collapsed="false">
      <c r="A27" s="19"/>
      <c r="B27" s="20" t="s">
        <v>71</v>
      </c>
      <c r="C27" s="25" t="n">
        <v>0.1</v>
      </c>
      <c r="D27" s="19" t="s">
        <v>72</v>
      </c>
    </row>
    <row r="28" customFormat="false" ht="15" hidden="false" customHeight="false" outlineLevel="0" collapsed="false">
      <c r="A28" s="19"/>
      <c r="B28" s="20" t="s">
        <v>73</v>
      </c>
      <c r="C28" s="25" t="n">
        <v>0.025</v>
      </c>
      <c r="D28" s="19" t="s">
        <v>72</v>
      </c>
    </row>
    <row r="29" customFormat="false" ht="15" hidden="false" customHeight="false" outlineLevel="0" collapsed="false">
      <c r="A29" s="19"/>
      <c r="B29" s="20" t="s">
        <v>74</v>
      </c>
      <c r="C29" s="25" t="n">
        <v>0.0125</v>
      </c>
      <c r="D29" s="19" t="s">
        <v>72</v>
      </c>
    </row>
  </sheetData>
  <sheetProtection sheet="true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6" min="2" style="0" width="14"/>
    <col collapsed="false" customWidth="true" hidden="false" outlineLevel="0" max="8" min="7" style="0" width="2"/>
    <col collapsed="false" customWidth="true" hidden="false" outlineLevel="0" max="9" min="9" style="0" width="8"/>
    <col collapsed="false" customWidth="true" hidden="false" outlineLevel="0" max="14" min="10" style="0" width="14"/>
    <col collapsed="false" customWidth="true" hidden="false" outlineLevel="0" max="15" min="15" style="0" width="2"/>
    <col collapsed="false" customWidth="true" hidden="false" outlineLevel="0" max="16" min="16" style="0" width="8"/>
    <col collapsed="false" customWidth="true" hidden="false" outlineLevel="0" max="21" min="17" style="0" width="14"/>
  </cols>
  <sheetData>
    <row r="1" customFormat="false" ht="17.35" hidden="false" customHeight="false" outlineLevel="0" collapsed="false">
      <c r="A1" s="1" t="s">
        <v>75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76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customFormat="false" ht="15" hidden="false" customHeight="false" outlineLevel="0" collapsed="false">
      <c r="B3" s="26" t="s">
        <v>8</v>
      </c>
      <c r="C3" s="26"/>
      <c r="D3" s="26"/>
      <c r="E3" s="26"/>
      <c r="F3" s="26"/>
      <c r="G3" s="26"/>
      <c r="I3" s="26" t="s">
        <v>9</v>
      </c>
      <c r="J3" s="26"/>
      <c r="K3" s="26"/>
      <c r="L3" s="26"/>
      <c r="M3" s="26"/>
      <c r="N3" s="26"/>
      <c r="P3" s="26" t="s">
        <v>10</v>
      </c>
      <c r="Q3" s="26"/>
      <c r="R3" s="26"/>
      <c r="S3" s="26"/>
      <c r="T3" s="26"/>
      <c r="U3" s="26"/>
    </row>
    <row r="4" customFormat="false" ht="166.4" hidden="false" customHeight="false" outlineLevel="0" collapsed="false">
      <c r="B4" s="27" t="s">
        <v>77</v>
      </c>
      <c r="C4" s="27" t="s">
        <v>78</v>
      </c>
      <c r="D4" s="27" t="s">
        <v>79</v>
      </c>
      <c r="E4" s="27" t="s">
        <v>80</v>
      </c>
      <c r="F4" s="27" t="s">
        <v>81</v>
      </c>
      <c r="G4" s="27" t="s">
        <v>82</v>
      </c>
      <c r="I4" s="27" t="s">
        <v>77</v>
      </c>
      <c r="J4" s="27" t="s">
        <v>78</v>
      </c>
      <c r="K4" s="27" t="s">
        <v>79</v>
      </c>
      <c r="L4" s="27" t="s">
        <v>80</v>
      </c>
      <c r="M4" s="27" t="s">
        <v>81</v>
      </c>
      <c r="N4" s="27" t="s">
        <v>82</v>
      </c>
      <c r="P4" s="27" t="s">
        <v>77</v>
      </c>
      <c r="Q4" s="27" t="s">
        <v>78</v>
      </c>
      <c r="R4" s="27" t="s">
        <v>79</v>
      </c>
      <c r="S4" s="27" t="s">
        <v>80</v>
      </c>
      <c r="T4" s="27" t="s">
        <v>81</v>
      </c>
      <c r="U4" s="27" t="s">
        <v>82</v>
      </c>
    </row>
    <row r="5" customFormat="false" ht="15" hidden="false" customHeight="false" outlineLevel="0" collapsed="false">
      <c r="B5" s="5" t="n">
        <f aca="false">ROW()-4</f>
        <v>1</v>
      </c>
      <c r="C5" s="12" t="n">
        <f aca="false">Tomato_Base_Labor_Hrs_Wk_Bed*Season_Weeks*(1+Tomato_Diminishing_Rate)^(B5-1)</f>
        <v>90</v>
      </c>
      <c r="D5" s="12" t="n">
        <f aca="false">SUM($C$5:C5)</f>
        <v>90</v>
      </c>
      <c r="E5" s="28" t="n">
        <f aca="false">C5*Temp_Wage_Per_Hour+Tomato_Fertilizer_Per_Bed</f>
        <v>2442.4</v>
      </c>
      <c r="F5" s="29" t="n">
        <f aca="false">Tomato_Price-E5</f>
        <v>6357.6</v>
      </c>
      <c r="G5" s="29" t="n">
        <f aca="false">B5*Tomato_Price-B5*Tomato_Fertilizer_Per_Bed-D5*Temp_Wage_Per_Hour</f>
        <v>6357.6</v>
      </c>
      <c r="I5" s="5" t="n">
        <f aca="false">ROW()-4</f>
        <v>1</v>
      </c>
      <c r="J5" s="12" t="n">
        <f aca="false">Carrot_Base_Labor_Hrs_Wk_Bed*Season_Weeks*(1+Carrot_Diminishing_Rate)^(I5-1)</f>
        <v>29.988</v>
      </c>
      <c r="K5" s="12" t="n">
        <f aca="false">SUM($J$5:J5)</f>
        <v>29.988</v>
      </c>
      <c r="L5" s="28" t="n">
        <f aca="false">J5*Temp_Wage_Per_Hour+Carrot_Fertilizer_Per_Bed</f>
        <v>960.59168</v>
      </c>
      <c r="M5" s="29" t="n">
        <f aca="false">Carrot_Price-L5</f>
        <v>1133.40832</v>
      </c>
      <c r="N5" s="29" t="n">
        <f aca="false">I5*Carrot_Price-I5*Carrot_Fertilizer_Per_Bed-K5*Temp_Wage_Per_Hour</f>
        <v>1133.40832</v>
      </c>
      <c r="P5" s="5" t="n">
        <f aca="false">ROW()-4</f>
        <v>1</v>
      </c>
      <c r="Q5" s="12" t="n">
        <f aca="false">Mesclun_Base_Labor_Hrs_Wk_Bed*Season_Weeks*(1+Mesclun_Diminishing_Rate)^(P5-1)</f>
        <v>45</v>
      </c>
      <c r="R5" s="12" t="n">
        <f aca="false">SUM($Q$5:Q5)</f>
        <v>45</v>
      </c>
      <c r="S5" s="28" t="n">
        <f aca="false">Q5*Temp_Wage_Per_Hour+Mesclun_Fertilizer_Per_Bed</f>
        <v>1661.2</v>
      </c>
      <c r="T5" s="29" t="n">
        <f aca="false">Mesclun_Price-S5</f>
        <v>1038.8</v>
      </c>
      <c r="U5" s="29" t="n">
        <f aca="false">P5*Mesclun_Price-P5*Mesclun_Fertilizer_Per_Bed-R5*Temp_Wage_Per_Hour</f>
        <v>1038.8</v>
      </c>
    </row>
    <row r="6" customFormat="false" ht="15" hidden="false" customHeight="false" outlineLevel="0" collapsed="false">
      <c r="B6" s="5" t="n">
        <f aca="false">ROW()-4</f>
        <v>2</v>
      </c>
      <c r="C6" s="12" t="n">
        <f aca="false">Tomato_Base_Labor_Hrs_Wk_Bed*Season_Weeks*(1+Tomato_Diminishing_Rate)^(B6-1)</f>
        <v>99</v>
      </c>
      <c r="D6" s="12" t="n">
        <f aca="false">SUM($C$5:C6)</f>
        <v>189</v>
      </c>
      <c r="E6" s="28" t="n">
        <f aca="false">C6*Temp_Wage_Per_Hour+Tomato_Fertilizer_Per_Bed</f>
        <v>2598.64</v>
      </c>
      <c r="F6" s="29" t="n">
        <f aca="false">Tomato_Price-E6</f>
        <v>6201.36</v>
      </c>
      <c r="G6" s="29" t="n">
        <f aca="false">B6*Tomato_Price-B6*Tomato_Fertilizer_Per_Bed-D6*Temp_Wage_Per_Hour</f>
        <v>12558.96</v>
      </c>
      <c r="I6" s="5" t="n">
        <f aca="false">ROW()-4</f>
        <v>2</v>
      </c>
      <c r="J6" s="12" t="n">
        <f aca="false">Carrot_Base_Labor_Hrs_Wk_Bed*Season_Weeks*(1+Carrot_Diminishing_Rate)^(I6-1)</f>
        <v>30.7377</v>
      </c>
      <c r="K6" s="12" t="n">
        <f aca="false">SUM($J$5:J6)</f>
        <v>60.7257</v>
      </c>
      <c r="L6" s="28" t="n">
        <f aca="false">J6*Temp_Wage_Per_Hour+Carrot_Fertilizer_Per_Bed</f>
        <v>973.606472</v>
      </c>
      <c r="M6" s="29" t="n">
        <f aca="false">Carrot_Price-L6</f>
        <v>1120.393528</v>
      </c>
      <c r="N6" s="29" t="n">
        <f aca="false">I6*Carrot_Price-I6*Carrot_Fertilizer_Per_Bed-K6*Temp_Wage_Per_Hour</f>
        <v>2253.801848</v>
      </c>
      <c r="P6" s="5" t="n">
        <f aca="false">ROW()-4</f>
        <v>2</v>
      </c>
      <c r="Q6" s="12" t="n">
        <f aca="false">Mesclun_Base_Labor_Hrs_Wk_Bed*Season_Weeks*(1+Mesclun_Diminishing_Rate)^(P6-1)</f>
        <v>45.5625</v>
      </c>
      <c r="R6" s="12" t="n">
        <f aca="false">SUM($Q$5:Q6)</f>
        <v>90.5625</v>
      </c>
      <c r="S6" s="28" t="n">
        <f aca="false">Q6*Temp_Wage_Per_Hour+Mesclun_Fertilizer_Per_Bed</f>
        <v>1670.965</v>
      </c>
      <c r="T6" s="29" t="n">
        <f aca="false">Mesclun_Price-S6</f>
        <v>1029.035</v>
      </c>
      <c r="U6" s="29" t="n">
        <f aca="false">P6*Mesclun_Price-P6*Mesclun_Fertilizer_Per_Bed-R6*Temp_Wage_Per_Hour</f>
        <v>2067.835</v>
      </c>
    </row>
    <row r="7" customFormat="false" ht="15" hidden="false" customHeight="false" outlineLevel="0" collapsed="false">
      <c r="B7" s="5" t="n">
        <f aca="false">ROW()-4</f>
        <v>3</v>
      </c>
      <c r="C7" s="12" t="n">
        <f aca="false">Tomato_Base_Labor_Hrs_Wk_Bed*Season_Weeks*(1+Tomato_Diminishing_Rate)^(B7-1)</f>
        <v>108.9</v>
      </c>
      <c r="D7" s="12" t="n">
        <f aca="false">SUM($C$5:C7)</f>
        <v>297.9</v>
      </c>
      <c r="E7" s="28" t="n">
        <f aca="false">C7*Temp_Wage_Per_Hour+Tomato_Fertilizer_Per_Bed</f>
        <v>2770.504</v>
      </c>
      <c r="F7" s="29" t="n">
        <f aca="false">Tomato_Price-E7</f>
        <v>6029.496</v>
      </c>
      <c r="G7" s="29" t="n">
        <f aca="false">B7*Tomato_Price-B7*Tomato_Fertilizer_Per_Bed-D7*Temp_Wage_Per_Hour</f>
        <v>18588.456</v>
      </c>
      <c r="I7" s="5" t="n">
        <f aca="false">ROW()-4</f>
        <v>3</v>
      </c>
      <c r="J7" s="12" t="n">
        <f aca="false">Carrot_Base_Labor_Hrs_Wk_Bed*Season_Weeks*(1+Carrot_Diminishing_Rate)^(I7-1)</f>
        <v>31.5061425</v>
      </c>
      <c r="K7" s="12" t="n">
        <f aca="false">SUM($J$5:J7)</f>
        <v>92.2318425</v>
      </c>
      <c r="L7" s="28" t="n">
        <f aca="false">J7*Temp_Wage_Per_Hour+Carrot_Fertilizer_Per_Bed</f>
        <v>986.9466338</v>
      </c>
      <c r="M7" s="29" t="n">
        <f aca="false">Carrot_Price-L7</f>
        <v>1107.0533662</v>
      </c>
      <c r="N7" s="29" t="n">
        <f aca="false">I7*Carrot_Price-I7*Carrot_Fertilizer_Per_Bed-K7*Temp_Wage_Per_Hour</f>
        <v>3360.8552142</v>
      </c>
      <c r="P7" s="5" t="n">
        <f aca="false">ROW()-4</f>
        <v>3</v>
      </c>
      <c r="Q7" s="12" t="n">
        <f aca="false">Mesclun_Base_Labor_Hrs_Wk_Bed*Season_Weeks*(1+Mesclun_Diminishing_Rate)^(P7-1)</f>
        <v>46.13203125</v>
      </c>
      <c r="R7" s="12" t="n">
        <f aca="false">SUM($Q$5:Q7)</f>
        <v>136.69453125</v>
      </c>
      <c r="S7" s="28" t="n">
        <f aca="false">Q7*Temp_Wage_Per_Hour+Mesclun_Fertilizer_Per_Bed</f>
        <v>1680.8520625</v>
      </c>
      <c r="T7" s="29" t="n">
        <f aca="false">Mesclun_Price-S7</f>
        <v>1019.1479375</v>
      </c>
      <c r="U7" s="29" t="n">
        <f aca="false">P7*Mesclun_Price-P7*Mesclun_Fertilizer_Per_Bed-R7*Temp_Wage_Per_Hour</f>
        <v>3086.9829375</v>
      </c>
    </row>
    <row r="8" customFormat="false" ht="15" hidden="false" customHeight="false" outlineLevel="0" collapsed="false">
      <c r="B8" s="5" t="n">
        <f aca="false">ROW()-4</f>
        <v>4</v>
      </c>
      <c r="C8" s="12" t="n">
        <f aca="false">Tomato_Base_Labor_Hrs_Wk_Bed*Season_Weeks*(1+Tomato_Diminishing_Rate)^(B8-1)</f>
        <v>119.79</v>
      </c>
      <c r="D8" s="12" t="n">
        <f aca="false">SUM($C$5:C8)</f>
        <v>417.69</v>
      </c>
      <c r="E8" s="28" t="n">
        <f aca="false">C8*Temp_Wage_Per_Hour+Tomato_Fertilizer_Per_Bed</f>
        <v>2959.5544</v>
      </c>
      <c r="F8" s="29" t="n">
        <f aca="false">Tomato_Price-E8</f>
        <v>5840.4456</v>
      </c>
      <c r="G8" s="29" t="n">
        <f aca="false">B8*Tomato_Price-B8*Tomato_Fertilizer_Per_Bed-D8*Temp_Wage_Per_Hour</f>
        <v>24428.9016</v>
      </c>
      <c r="I8" s="5" t="n">
        <f aca="false">ROW()-4</f>
        <v>4</v>
      </c>
      <c r="J8" s="12" t="n">
        <f aca="false">Carrot_Base_Labor_Hrs_Wk_Bed*Season_Weeks*(1+Carrot_Diminishing_Rate)^(I8-1)</f>
        <v>32.2937960625</v>
      </c>
      <c r="K8" s="12" t="n">
        <f aca="false">SUM($J$5:J8)</f>
        <v>124.5256385625</v>
      </c>
      <c r="L8" s="28" t="n">
        <f aca="false">J8*Temp_Wage_Per_Hour+Carrot_Fertilizer_Per_Bed</f>
        <v>1000.620299645</v>
      </c>
      <c r="M8" s="29" t="n">
        <f aca="false">Carrot_Price-L8</f>
        <v>1093.379700355</v>
      </c>
      <c r="N8" s="29" t="n">
        <f aca="false">I8*Carrot_Price-I8*Carrot_Fertilizer_Per_Bed-K8*Temp_Wage_Per_Hour</f>
        <v>4454.234914555</v>
      </c>
      <c r="P8" s="5" t="n">
        <f aca="false">ROW()-4</f>
        <v>4</v>
      </c>
      <c r="Q8" s="12" t="n">
        <f aca="false">Mesclun_Base_Labor_Hrs_Wk_Bed*Season_Weeks*(1+Mesclun_Diminishing_Rate)^(P8-1)</f>
        <v>46.708681640625</v>
      </c>
      <c r="R8" s="12" t="n">
        <f aca="false">SUM($Q$5:Q8)</f>
        <v>183.403212890625</v>
      </c>
      <c r="S8" s="28" t="n">
        <f aca="false">Q8*Temp_Wage_Per_Hour+Mesclun_Fertilizer_Per_Bed</f>
        <v>1690.86271328125</v>
      </c>
      <c r="T8" s="29" t="n">
        <f aca="false">Mesclun_Price-S8</f>
        <v>1009.13728671875</v>
      </c>
      <c r="U8" s="29" t="n">
        <f aca="false">P8*Mesclun_Price-P8*Mesclun_Fertilizer_Per_Bed-R8*Temp_Wage_Per_Hour</f>
        <v>4096.12022421875</v>
      </c>
    </row>
    <row r="9" customFormat="false" ht="15" hidden="false" customHeight="false" outlineLevel="0" collapsed="false">
      <c r="B9" s="5" t="n">
        <f aca="false">ROW()-4</f>
        <v>5</v>
      </c>
      <c r="C9" s="12" t="n">
        <f aca="false">Tomato_Base_Labor_Hrs_Wk_Bed*Season_Weeks*(1+Tomato_Diminishing_Rate)^(B9-1)</f>
        <v>131.769</v>
      </c>
      <c r="D9" s="12" t="n">
        <f aca="false">SUM($C$5:C9)</f>
        <v>549.459</v>
      </c>
      <c r="E9" s="28" t="n">
        <f aca="false">C9*Temp_Wage_Per_Hour+Tomato_Fertilizer_Per_Bed</f>
        <v>3167.50984</v>
      </c>
      <c r="F9" s="29" t="n">
        <f aca="false">Tomato_Price-E9</f>
        <v>5632.49016</v>
      </c>
      <c r="G9" s="29" t="n">
        <f aca="false">B9*Tomato_Price-B9*Tomato_Fertilizer_Per_Bed-D9*Temp_Wage_Per_Hour</f>
        <v>30061.39176</v>
      </c>
      <c r="I9" s="5" t="n">
        <f aca="false">ROW()-4</f>
        <v>5</v>
      </c>
      <c r="J9" s="12" t="n">
        <f aca="false">Carrot_Base_Labor_Hrs_Wk_Bed*Season_Weeks*(1+Carrot_Diminishing_Rate)^(I9-1)</f>
        <v>33.1011409640625</v>
      </c>
      <c r="K9" s="12" t="n">
        <f aca="false">SUM($J$5:J9)</f>
        <v>157.626779526562</v>
      </c>
      <c r="L9" s="28" t="n">
        <f aca="false">J9*Temp_Wage_Per_Hour+Carrot_Fertilizer_Per_Bed</f>
        <v>1014.63580713612</v>
      </c>
      <c r="M9" s="29" t="n">
        <f aca="false">Carrot_Price-L9</f>
        <v>1079.36419286388</v>
      </c>
      <c r="N9" s="29" t="n">
        <f aca="false">I9*Carrot_Price-I9*Carrot_Fertilizer_Per_Bed-K9*Temp_Wage_Per_Hour</f>
        <v>5533.59910741888</v>
      </c>
      <c r="P9" s="5" t="n">
        <f aca="false">ROW()-4</f>
        <v>5</v>
      </c>
      <c r="Q9" s="12" t="n">
        <f aca="false">Mesclun_Base_Labor_Hrs_Wk_Bed*Season_Weeks*(1+Mesclun_Diminishing_Rate)^(P9-1)</f>
        <v>47.2925401611328</v>
      </c>
      <c r="R9" s="12" t="n">
        <f aca="false">SUM($Q$5:Q9)</f>
        <v>230.695753051758</v>
      </c>
      <c r="S9" s="28" t="n">
        <f aca="false">Q9*Temp_Wage_Per_Hour+Mesclun_Fertilizer_Per_Bed</f>
        <v>1700.99849719727</v>
      </c>
      <c r="T9" s="29" t="n">
        <f aca="false">Mesclun_Price-S9</f>
        <v>999.001502802735</v>
      </c>
      <c r="U9" s="29" t="n">
        <f aca="false">P9*Mesclun_Price-P9*Mesclun_Fertilizer_Per_Bed-R9*Temp_Wage_Per_Hour</f>
        <v>5095.12172702149</v>
      </c>
    </row>
    <row r="10" customFormat="false" ht="15" hidden="false" customHeight="false" outlineLevel="0" collapsed="false">
      <c r="B10" s="5" t="n">
        <f aca="false">ROW()-4</f>
        <v>6</v>
      </c>
      <c r="C10" s="12" t="n">
        <f aca="false">Tomato_Base_Labor_Hrs_Wk_Bed*Season_Weeks*(1+Tomato_Diminishing_Rate)^(B10-1)</f>
        <v>144.9459</v>
      </c>
      <c r="D10" s="12" t="n">
        <f aca="false">SUM($C$5:C10)</f>
        <v>694.4049</v>
      </c>
      <c r="E10" s="28" t="n">
        <f aca="false">C10*Temp_Wage_Per_Hour+Tomato_Fertilizer_Per_Bed</f>
        <v>3396.260824</v>
      </c>
      <c r="F10" s="29" t="n">
        <f aca="false">Tomato_Price-E10</f>
        <v>5403.739176</v>
      </c>
      <c r="G10" s="29" t="n">
        <f aca="false">B10*Tomato_Price-B10*Tomato_Fertilizer_Per_Bed-D10*Temp_Wage_Per_Hour</f>
        <v>35465.130936</v>
      </c>
      <c r="I10" s="5" t="n">
        <f aca="false">ROW()-4</f>
        <v>6</v>
      </c>
      <c r="J10" s="12" t="n">
        <f aca="false">Carrot_Base_Labor_Hrs_Wk_Bed*Season_Weeks*(1+Carrot_Diminishing_Rate)^(I10-1)</f>
        <v>33.9286694881641</v>
      </c>
      <c r="K10" s="12" t="n">
        <f aca="false">SUM($J$5:J10)</f>
        <v>191.555449014727</v>
      </c>
      <c r="L10" s="28" t="n">
        <f aca="false">J10*Temp_Wage_Per_Hour+Carrot_Fertilizer_Per_Bed</f>
        <v>1029.00170231453</v>
      </c>
      <c r="M10" s="29" t="n">
        <f aca="false">Carrot_Price-L10</f>
        <v>1064.99829768547</v>
      </c>
      <c r="N10" s="29" t="n">
        <f aca="false">I10*Carrot_Price-I10*Carrot_Fertilizer_Per_Bed-K10*Temp_Wage_Per_Hour</f>
        <v>6598.59740510435</v>
      </c>
      <c r="P10" s="5" t="n">
        <f aca="false">ROW()-4</f>
        <v>6</v>
      </c>
      <c r="Q10" s="12" t="n">
        <f aca="false">Mesclun_Base_Labor_Hrs_Wk_Bed*Season_Weeks*(1+Mesclun_Diminishing_Rate)^(P10-1)</f>
        <v>47.883696913147</v>
      </c>
      <c r="R10" s="12" t="n">
        <f aca="false">SUM($Q$5:Q10)</f>
        <v>278.579449964905</v>
      </c>
      <c r="S10" s="28" t="n">
        <f aca="false">Q10*Temp_Wage_Per_Hour+Mesclun_Fertilizer_Per_Bed</f>
        <v>1711.26097841223</v>
      </c>
      <c r="T10" s="29" t="n">
        <f aca="false">Mesclun_Price-S10</f>
        <v>988.739021587769</v>
      </c>
      <c r="U10" s="29" t="n">
        <f aca="false">P10*Mesclun_Price-P10*Mesclun_Fertilizer_Per_Bed-R10*Temp_Wage_Per_Hour</f>
        <v>6083.86074860925</v>
      </c>
    </row>
    <row r="11" customFormat="false" ht="15" hidden="false" customHeight="false" outlineLevel="0" collapsed="false">
      <c r="B11" s="5" t="n">
        <f aca="false">ROW()-4</f>
        <v>7</v>
      </c>
      <c r="C11" s="12" t="n">
        <f aca="false">Tomato_Base_Labor_Hrs_Wk_Bed*Season_Weeks*(1+Tomato_Diminishing_Rate)^(B11-1)</f>
        <v>159.44049</v>
      </c>
      <c r="D11" s="12" t="n">
        <f aca="false">SUM($C$5:C11)</f>
        <v>853.84539</v>
      </c>
      <c r="E11" s="28" t="n">
        <f aca="false">C11*Temp_Wage_Per_Hour+Tomato_Fertilizer_Per_Bed</f>
        <v>3647.8869064</v>
      </c>
      <c r="F11" s="29" t="n">
        <f aca="false">Tomato_Price-E11</f>
        <v>5152.1130936</v>
      </c>
      <c r="G11" s="29" t="n">
        <f aca="false">B11*Tomato_Price-B11*Tomato_Fertilizer_Per_Bed-D11*Temp_Wage_Per_Hour</f>
        <v>40617.2440296</v>
      </c>
      <c r="I11" s="5" t="n">
        <f aca="false">ROW()-4</f>
        <v>7</v>
      </c>
      <c r="J11" s="12" t="n">
        <f aca="false">Carrot_Base_Labor_Hrs_Wk_Bed*Season_Weeks*(1+Carrot_Diminishing_Rate)^(I11-1)</f>
        <v>34.7768862253681</v>
      </c>
      <c r="K11" s="12" t="n">
        <f aca="false">SUM($J$5:J11)</f>
        <v>226.332335240095</v>
      </c>
      <c r="L11" s="28" t="n">
        <f aca="false">J11*Temp_Wage_Per_Hour+Carrot_Fertilizer_Per_Bed</f>
        <v>1043.72674487239</v>
      </c>
      <c r="M11" s="29" t="n">
        <f aca="false">Carrot_Price-L11</f>
        <v>1050.27325512761</v>
      </c>
      <c r="N11" s="29" t="n">
        <f aca="false">I11*Carrot_Price-I11*Carrot_Fertilizer_Per_Bed-K11*Temp_Wage_Per_Hour</f>
        <v>7648.87066023196</v>
      </c>
      <c r="P11" s="5" t="n">
        <f aca="false">ROW()-4</f>
        <v>7</v>
      </c>
      <c r="Q11" s="12" t="n">
        <f aca="false">Mesclun_Base_Labor_Hrs_Wk_Bed*Season_Weeks*(1+Mesclun_Diminishing_Rate)^(P11-1)</f>
        <v>48.4822431245613</v>
      </c>
      <c r="R11" s="12" t="n">
        <f aca="false">SUM($Q$5:Q11)</f>
        <v>327.061693089466</v>
      </c>
      <c r="S11" s="28" t="n">
        <f aca="false">Q11*Temp_Wage_Per_Hour+Mesclun_Fertilizer_Per_Bed</f>
        <v>1721.65174064238</v>
      </c>
      <c r="T11" s="29" t="n">
        <f aca="false">Mesclun_Price-S11</f>
        <v>978.348259357616</v>
      </c>
      <c r="U11" s="29" t="n">
        <f aca="false">P11*Mesclun_Price-P11*Mesclun_Fertilizer_Per_Bed-R11*Temp_Wage_Per_Hour</f>
        <v>7062.20900796687</v>
      </c>
    </row>
    <row r="12" customFormat="false" ht="15" hidden="false" customHeight="false" outlineLevel="0" collapsed="false">
      <c r="B12" s="5" t="n">
        <f aca="false">ROW()-4</f>
        <v>8</v>
      </c>
      <c r="C12" s="12" t="n">
        <f aca="false">Tomato_Base_Labor_Hrs_Wk_Bed*Season_Weeks*(1+Tomato_Diminishing_Rate)^(B12-1)</f>
        <v>175.384539</v>
      </c>
      <c r="D12" s="12" t="n">
        <f aca="false">SUM($C$5:C12)</f>
        <v>1029.229929</v>
      </c>
      <c r="E12" s="28" t="n">
        <f aca="false">C12*Temp_Wage_Per_Hour+Tomato_Fertilizer_Per_Bed</f>
        <v>3924.67559704</v>
      </c>
      <c r="F12" s="29" t="n">
        <f aca="false">Tomato_Price-E12</f>
        <v>4875.32440296</v>
      </c>
      <c r="G12" s="29" t="n">
        <f aca="false">B12*Tomato_Price-B12*Tomato_Fertilizer_Per_Bed-D12*Temp_Wage_Per_Hour</f>
        <v>45492.56843256</v>
      </c>
      <c r="I12" s="5" t="n">
        <f aca="false">ROW()-4</f>
        <v>8</v>
      </c>
      <c r="J12" s="12" t="n">
        <f aca="false">Carrot_Base_Labor_Hrs_Wk_Bed*Season_Weeks*(1+Carrot_Diminishing_Rate)^(I12-1)</f>
        <v>35.6463083810024</v>
      </c>
      <c r="K12" s="12" t="n">
        <f aca="false">SUM($J$5:J12)</f>
        <v>261.978643621097</v>
      </c>
      <c r="L12" s="28" t="n">
        <f aca="false">J12*Temp_Wage_Per_Hour+Carrot_Fertilizer_Per_Bed</f>
        <v>1058.8199134942</v>
      </c>
      <c r="M12" s="29" t="n">
        <f aca="false">Carrot_Price-L12</f>
        <v>1035.1800865058</v>
      </c>
      <c r="N12" s="29" t="n">
        <f aca="false">I12*Carrot_Price-I12*Carrot_Fertilizer_Per_Bed-K12*Temp_Wage_Per_Hour</f>
        <v>8684.05074673776</v>
      </c>
      <c r="P12" s="5" t="n">
        <f aca="false">ROW()-4</f>
        <v>8</v>
      </c>
      <c r="Q12" s="12" t="n">
        <f aca="false">Mesclun_Base_Labor_Hrs_Wk_Bed*Season_Weeks*(1+Mesclun_Diminishing_Rate)^(P12-1)</f>
        <v>49.0882711636183</v>
      </c>
      <c r="R12" s="12" t="n">
        <f aca="false">SUM($Q$5:Q12)</f>
        <v>376.149964253084</v>
      </c>
      <c r="S12" s="28" t="n">
        <f aca="false">Q12*Temp_Wage_Per_Hour+Mesclun_Fertilizer_Per_Bed</f>
        <v>1732.17238740041</v>
      </c>
      <c r="T12" s="29" t="n">
        <f aca="false">Mesclun_Price-S12</f>
        <v>967.827612599586</v>
      </c>
      <c r="U12" s="29" t="n">
        <f aca="false">P12*Mesclun_Price-P12*Mesclun_Fertilizer_Per_Bed-R12*Temp_Wage_Per_Hour</f>
        <v>8030.03662056646</v>
      </c>
    </row>
    <row r="13" customFormat="false" ht="15" hidden="false" customHeight="false" outlineLevel="0" collapsed="false">
      <c r="B13" s="5" t="n">
        <f aca="false">ROW()-4</f>
        <v>9</v>
      </c>
      <c r="C13" s="12" t="n">
        <f aca="false">Tomato_Base_Labor_Hrs_Wk_Bed*Season_Weeks*(1+Tomato_Diminishing_Rate)^(B13-1)</f>
        <v>192.9229929</v>
      </c>
      <c r="D13" s="12" t="n">
        <f aca="false">SUM($C$5:C13)</f>
        <v>1222.1529219</v>
      </c>
      <c r="E13" s="28" t="n">
        <f aca="false">C13*Temp_Wage_Per_Hour+Tomato_Fertilizer_Per_Bed</f>
        <v>4229.143156744</v>
      </c>
      <c r="F13" s="29" t="n">
        <f aca="false">Tomato_Price-E13</f>
        <v>4570.856843256</v>
      </c>
      <c r="G13" s="29" t="n">
        <f aca="false">B13*Tomato_Price-B13*Tomato_Fertilizer_Per_Bed-D13*Temp_Wage_Per_Hour</f>
        <v>50063.425275816</v>
      </c>
      <c r="I13" s="5" t="n">
        <f aca="false">ROW()-4</f>
        <v>9</v>
      </c>
      <c r="J13" s="12" t="n">
        <f aca="false">Carrot_Base_Labor_Hrs_Wk_Bed*Season_Weeks*(1+Carrot_Diminishing_Rate)^(I13-1)</f>
        <v>36.5374660905274</v>
      </c>
      <c r="K13" s="12" t="n">
        <f aca="false">SUM($J$5:J13)</f>
        <v>298.516109711624</v>
      </c>
      <c r="L13" s="28" t="n">
        <f aca="false">J13*Temp_Wage_Per_Hour+Carrot_Fertilizer_Per_Bed</f>
        <v>1074.29041133156</v>
      </c>
      <c r="M13" s="29" t="n">
        <f aca="false">Carrot_Price-L13</f>
        <v>1019.70958866844</v>
      </c>
      <c r="N13" s="29" t="n">
        <f aca="false">I13*Carrot_Price-I13*Carrot_Fertilizer_Per_Bed-K13*Temp_Wage_Per_Hour</f>
        <v>9703.7603354062</v>
      </c>
      <c r="P13" s="5" t="n">
        <f aca="false">ROW()-4</f>
        <v>9</v>
      </c>
      <c r="Q13" s="12" t="n">
        <f aca="false">Mesclun_Base_Labor_Hrs_Wk_Bed*Season_Weeks*(1+Mesclun_Diminishing_Rate)^(P13-1)</f>
        <v>49.7018745531635</v>
      </c>
      <c r="R13" s="12" t="n">
        <f aca="false">SUM($Q$5:Q13)</f>
        <v>425.851838806248</v>
      </c>
      <c r="S13" s="28" t="n">
        <f aca="false">Q13*Temp_Wage_Per_Hour+Mesclun_Fertilizer_Per_Bed</f>
        <v>1742.82454224292</v>
      </c>
      <c r="T13" s="29" t="n">
        <f aca="false">Mesclun_Price-S13</f>
        <v>957.175457757081</v>
      </c>
      <c r="U13" s="29" t="n">
        <f aca="false">P13*Mesclun_Price-P13*Mesclun_Fertilizer_Per_Bed-R13*Temp_Wage_Per_Hour</f>
        <v>8987.21207832354</v>
      </c>
    </row>
    <row r="14" customFormat="false" ht="15" hidden="false" customHeight="false" outlineLevel="0" collapsed="false">
      <c r="B14" s="5" t="n">
        <f aca="false">ROW()-4</f>
        <v>10</v>
      </c>
      <c r="C14" s="12" t="n">
        <f aca="false">Tomato_Base_Labor_Hrs_Wk_Bed*Season_Weeks*(1+Tomato_Diminishing_Rate)^(B14-1)</f>
        <v>212.21529219</v>
      </c>
      <c r="D14" s="12" t="n">
        <f aca="false">SUM($C$5:C14)</f>
        <v>1434.36821409</v>
      </c>
      <c r="E14" s="28" t="n">
        <f aca="false">C14*Temp_Wage_Per_Hour+Tomato_Fertilizer_Per_Bed</f>
        <v>4564.0574724184</v>
      </c>
      <c r="F14" s="29" t="n">
        <f aca="false">Tomato_Price-E14</f>
        <v>4235.9425275816</v>
      </c>
      <c r="G14" s="29" t="n">
        <f aca="false">B14*Tomato_Price-B14*Tomato_Fertilizer_Per_Bed-D14*Temp_Wage_Per_Hour</f>
        <v>54299.3678033976</v>
      </c>
      <c r="I14" s="5" t="n">
        <f aca="false">ROW()-4</f>
        <v>10</v>
      </c>
      <c r="J14" s="12" t="n">
        <f aca="false">Carrot_Base_Labor_Hrs_Wk_Bed*Season_Weeks*(1+Carrot_Diminishing_Rate)^(I14-1)</f>
        <v>37.4509027427906</v>
      </c>
      <c r="K14" s="12" t="n">
        <f aca="false">SUM($J$5:J14)</f>
        <v>335.967012454415</v>
      </c>
      <c r="L14" s="28" t="n">
        <f aca="false">J14*Temp_Wage_Per_Hour+Carrot_Fertilizer_Per_Bed</f>
        <v>1090.14767161484</v>
      </c>
      <c r="M14" s="29" t="n">
        <f aca="false">Carrot_Price-L14</f>
        <v>1003.85232838516</v>
      </c>
      <c r="N14" s="29" t="n">
        <f aca="false">I14*Carrot_Price-I14*Carrot_Fertilizer_Per_Bed-K14*Temp_Wage_Per_Hour</f>
        <v>10707.6126637914</v>
      </c>
      <c r="P14" s="5" t="n">
        <f aca="false">ROW()-4</f>
        <v>10</v>
      </c>
      <c r="Q14" s="12" t="n">
        <f aca="false">Mesclun_Base_Labor_Hrs_Wk_Bed*Season_Weeks*(1+Mesclun_Diminishing_Rate)^(P14-1)</f>
        <v>50.3231479850781</v>
      </c>
      <c r="R14" s="12" t="n">
        <f aca="false">SUM($Q$5:Q14)</f>
        <v>476.174986791326</v>
      </c>
      <c r="S14" s="28" t="n">
        <f aca="false">Q14*Temp_Wage_Per_Hour+Mesclun_Fertilizer_Per_Bed</f>
        <v>1753.60984902096</v>
      </c>
      <c r="T14" s="29" t="n">
        <f aca="false">Mesclun_Price-S14</f>
        <v>946.390150979044</v>
      </c>
      <c r="U14" s="29" t="n">
        <f aca="false">P14*Mesclun_Price-P14*Mesclun_Fertilizer_Per_Bed-R14*Temp_Wage_Per_Hour</f>
        <v>9933.60222930258</v>
      </c>
    </row>
    <row r="15" customFormat="false" ht="15" hidden="false" customHeight="false" outlineLevel="0" collapsed="false">
      <c r="B15" s="5" t="n">
        <f aca="false">ROW()-4</f>
        <v>11</v>
      </c>
      <c r="C15" s="12" t="n">
        <f aca="false">Tomato_Base_Labor_Hrs_Wk_Bed*Season_Weeks*(1+Tomato_Diminishing_Rate)^(B15-1)</f>
        <v>233.436821409</v>
      </c>
      <c r="D15" s="12" t="n">
        <f aca="false">SUM($C$5:C15)</f>
        <v>1667.805035499</v>
      </c>
      <c r="E15" s="28" t="n">
        <f aca="false">C15*Temp_Wage_Per_Hour+Tomato_Fertilizer_Per_Bed</f>
        <v>4932.46321966024</v>
      </c>
      <c r="F15" s="29" t="n">
        <f aca="false">Tomato_Price-E15</f>
        <v>3867.53678033976</v>
      </c>
      <c r="G15" s="29" t="n">
        <f aca="false">B15*Tomato_Price-B15*Tomato_Fertilizer_Per_Bed-D15*Temp_Wage_Per_Hour</f>
        <v>58166.9045837373</v>
      </c>
      <c r="I15" s="5" t="n">
        <f aca="false">ROW()-4</f>
        <v>11</v>
      </c>
      <c r="J15" s="12" t="n">
        <f aca="false">Carrot_Base_Labor_Hrs_Wk_Bed*Season_Weeks*(1+Carrot_Diminishing_Rate)^(I15-1)</f>
        <v>38.3871753113603</v>
      </c>
      <c r="K15" s="12" t="n">
        <f aca="false">SUM($J$5:J15)</f>
        <v>374.354187765775</v>
      </c>
      <c r="L15" s="28" t="n">
        <f aca="false">J15*Temp_Wage_Per_Hour+Carrot_Fertilizer_Per_Bed</f>
        <v>1106.40136340522</v>
      </c>
      <c r="M15" s="29" t="n">
        <f aca="false">Carrot_Price-L15</f>
        <v>987.598636594785</v>
      </c>
      <c r="N15" s="29" t="n">
        <f aca="false">I15*Carrot_Price-I15*Carrot_Fertilizer_Per_Bed-K15*Temp_Wage_Per_Hour</f>
        <v>11695.2113003861</v>
      </c>
      <c r="P15" s="5" t="n">
        <f aca="false">ROW()-4</f>
        <v>11</v>
      </c>
      <c r="Q15" s="12" t="n">
        <f aca="false">Mesclun_Base_Labor_Hrs_Wk_Bed*Season_Weeks*(1+Mesclun_Diminishing_Rate)^(P15-1)</f>
        <v>50.9521873348916</v>
      </c>
      <c r="R15" s="12" t="n">
        <f aca="false">SUM($Q$5:Q15)</f>
        <v>527.127174126218</v>
      </c>
      <c r="S15" s="28" t="n">
        <f aca="false">Q15*Temp_Wage_Per_Hour+Mesclun_Fertilizer_Per_Bed</f>
        <v>1764.52997213372</v>
      </c>
      <c r="T15" s="29" t="n">
        <f aca="false">Mesclun_Price-S15</f>
        <v>935.470027866283</v>
      </c>
      <c r="U15" s="29" t="n">
        <f aca="false">P15*Mesclun_Price-P15*Mesclun_Fertilizer_Per_Bed-R15*Temp_Wage_Per_Hour</f>
        <v>10869.0722571689</v>
      </c>
    </row>
    <row r="16" customFormat="false" ht="15" hidden="false" customHeight="false" outlineLevel="0" collapsed="false">
      <c r="B16" s="5" t="n">
        <f aca="false">ROW()-4</f>
        <v>12</v>
      </c>
      <c r="C16" s="12" t="n">
        <f aca="false">Tomato_Base_Labor_Hrs_Wk_Bed*Season_Weeks*(1+Tomato_Diminishing_Rate)^(B16-1)</f>
        <v>256.7805035499</v>
      </c>
      <c r="D16" s="12" t="n">
        <f aca="false">SUM($C$5:C16)</f>
        <v>1924.5855390489</v>
      </c>
      <c r="E16" s="28" t="n">
        <f aca="false">C16*Temp_Wage_Per_Hour+Tomato_Fertilizer_Per_Bed</f>
        <v>5337.70954162627</v>
      </c>
      <c r="F16" s="29" t="n">
        <f aca="false">Tomato_Price-E16</f>
        <v>3462.29045837373</v>
      </c>
      <c r="G16" s="29" t="n">
        <f aca="false">B16*Tomato_Price-B16*Tomato_Fertilizer_Per_Bed-D16*Temp_Wage_Per_Hour</f>
        <v>61629.1950421111</v>
      </c>
      <c r="I16" s="5" t="n">
        <f aca="false">ROW()-4</f>
        <v>12</v>
      </c>
      <c r="J16" s="12" t="n">
        <f aca="false">Carrot_Base_Labor_Hrs_Wk_Bed*Season_Weeks*(1+Carrot_Diminishing_Rate)^(I16-1)</f>
        <v>39.3468546941444</v>
      </c>
      <c r="K16" s="12" t="n">
        <f aca="false">SUM($J$5:J16)</f>
        <v>413.70104245992</v>
      </c>
      <c r="L16" s="28" t="n">
        <f aca="false">J16*Temp_Wage_Per_Hour+Carrot_Fertilizer_Per_Bed</f>
        <v>1123.06139749035</v>
      </c>
      <c r="M16" s="29" t="n">
        <f aca="false">Carrot_Price-L16</f>
        <v>970.938602509654</v>
      </c>
      <c r="N16" s="29" t="n">
        <f aca="false">I16*Carrot_Price-I16*Carrot_Fertilizer_Per_Bed-K16*Temp_Wage_Per_Hour</f>
        <v>12666.1499028958</v>
      </c>
      <c r="P16" s="5" t="n">
        <f aca="false">ROW()-4</f>
        <v>12</v>
      </c>
      <c r="Q16" s="12" t="n">
        <f aca="false">Mesclun_Base_Labor_Hrs_Wk_Bed*Season_Weeks*(1+Mesclun_Diminishing_Rate)^(P16-1)</f>
        <v>51.5890896765777</v>
      </c>
      <c r="R16" s="12" t="n">
        <f aca="false">SUM($Q$5:Q16)</f>
        <v>578.716263802795</v>
      </c>
      <c r="S16" s="28" t="n">
        <f aca="false">Q16*Temp_Wage_Per_Hour+Mesclun_Fertilizer_Per_Bed</f>
        <v>1775.58659678539</v>
      </c>
      <c r="T16" s="29" t="n">
        <f aca="false">Mesclun_Price-S16</f>
        <v>924.413403214611</v>
      </c>
      <c r="U16" s="29" t="n">
        <f aca="false">P16*Mesclun_Price-P16*Mesclun_Fertilizer_Per_Bed-R16*Temp_Wage_Per_Hour</f>
        <v>11793.4856603835</v>
      </c>
    </row>
    <row r="17" customFormat="false" ht="15" hidden="false" customHeight="false" outlineLevel="0" collapsed="false">
      <c r="B17" s="5" t="n">
        <f aca="false">ROW()-4</f>
        <v>13</v>
      </c>
      <c r="C17" s="12" t="n">
        <f aca="false">Tomato_Base_Labor_Hrs_Wk_Bed*Season_Weeks*(1+Tomato_Diminishing_Rate)^(B17-1)</f>
        <v>282.45855390489</v>
      </c>
      <c r="D17" s="12" t="n">
        <f aca="false">SUM($C$5:C17)</f>
        <v>2207.04409295379</v>
      </c>
      <c r="E17" s="28" t="n">
        <f aca="false">C17*Temp_Wage_Per_Hour+Tomato_Fertilizer_Per_Bed</f>
        <v>5783.4804957889</v>
      </c>
      <c r="F17" s="29" t="n">
        <f aca="false">Tomato_Price-E17</f>
        <v>3016.51950421111</v>
      </c>
      <c r="G17" s="29" t="n">
        <f aca="false">B17*Tomato_Price-B17*Tomato_Fertilizer_Per_Bed-D17*Temp_Wage_Per_Hour</f>
        <v>64645.7145463222</v>
      </c>
      <c r="I17" s="5" t="n">
        <f aca="false">ROW()-4</f>
        <v>13</v>
      </c>
      <c r="J17" s="12" t="n">
        <f aca="false">Carrot_Base_Labor_Hrs_Wk_Bed*Season_Weeks*(1+Carrot_Diminishing_Rate)^(I17-1)</f>
        <v>40.330526061498</v>
      </c>
      <c r="K17" s="12" t="n">
        <f aca="false">SUM($J$5:J17)</f>
        <v>454.031568521418</v>
      </c>
      <c r="L17" s="28" t="n">
        <f aca="false">J17*Temp_Wage_Per_Hour+Carrot_Fertilizer_Per_Bed</f>
        <v>1140.1379324276</v>
      </c>
      <c r="M17" s="29" t="n">
        <f aca="false">Carrot_Price-L17</f>
        <v>953.862067572396</v>
      </c>
      <c r="N17" s="29" t="n">
        <f aca="false">I17*Carrot_Price-I17*Carrot_Fertilizer_Per_Bed-K17*Temp_Wage_Per_Hour</f>
        <v>13620.0119704682</v>
      </c>
      <c r="P17" s="5" t="n">
        <f aca="false">ROW()-4</f>
        <v>13</v>
      </c>
      <c r="Q17" s="12" t="n">
        <f aca="false">Mesclun_Base_Labor_Hrs_Wk_Bed*Season_Weeks*(1+Mesclun_Diminishing_Rate)^(P17-1)</f>
        <v>52.2339532975349</v>
      </c>
      <c r="R17" s="12" t="n">
        <f aca="false">SUM($Q$5:Q17)</f>
        <v>630.95021710033</v>
      </c>
      <c r="S17" s="28" t="n">
        <f aca="false">Q17*Temp_Wage_Per_Hour+Mesclun_Fertilizer_Per_Bed</f>
        <v>1786.78142924521</v>
      </c>
      <c r="T17" s="29" t="n">
        <f aca="false">Mesclun_Price-S17</f>
        <v>913.218570754794</v>
      </c>
      <c r="U17" s="29" t="n">
        <f aca="false">P17*Mesclun_Price-P17*Mesclun_Fertilizer_Per_Bed-R17*Temp_Wage_Per_Hour</f>
        <v>12706.7042311383</v>
      </c>
    </row>
    <row r="18" customFormat="false" ht="15" hidden="false" customHeight="false" outlineLevel="0" collapsed="false">
      <c r="B18" s="5" t="n">
        <f aca="false">ROW()-4</f>
        <v>14</v>
      </c>
      <c r="C18" s="12" t="n">
        <f aca="false">Tomato_Base_Labor_Hrs_Wk_Bed*Season_Weeks*(1+Tomato_Diminishing_Rate)^(B18-1)</f>
        <v>310.704409295379</v>
      </c>
      <c r="D18" s="12" t="n">
        <f aca="false">SUM($C$5:C18)</f>
        <v>2517.74850224917</v>
      </c>
      <c r="E18" s="28" t="n">
        <f aca="false">C18*Temp_Wage_Per_Hour+Tomato_Fertilizer_Per_Bed</f>
        <v>6273.82854536778</v>
      </c>
      <c r="F18" s="29" t="n">
        <f aca="false">Tomato_Price-E18</f>
        <v>2526.17145463222</v>
      </c>
      <c r="G18" s="29" t="n">
        <f aca="false">B18*Tomato_Price-B18*Tomato_Fertilizer_Per_Bed-D18*Temp_Wage_Per_Hour</f>
        <v>67171.8860009544</v>
      </c>
      <c r="I18" s="5" t="n">
        <f aca="false">ROW()-4</f>
        <v>14</v>
      </c>
      <c r="J18" s="12" t="n">
        <f aca="false">Carrot_Base_Labor_Hrs_Wk_Bed*Season_Weeks*(1+Carrot_Diminishing_Rate)^(I18-1)</f>
        <v>41.3387892130354</v>
      </c>
      <c r="K18" s="12" t="n">
        <f aca="false">SUM($J$5:J18)</f>
        <v>495.370357734453</v>
      </c>
      <c r="L18" s="28" t="n">
        <f aca="false">J18*Temp_Wage_Per_Hour+Carrot_Fertilizer_Per_Bed</f>
        <v>1157.64138073829</v>
      </c>
      <c r="M18" s="29" t="n">
        <f aca="false">Carrot_Price-L18</f>
        <v>936.358619261705</v>
      </c>
      <c r="N18" s="29" t="n">
        <f aca="false">I18*Carrot_Price-I18*Carrot_Fertilizer_Per_Bed-K18*Temp_Wage_Per_Hour</f>
        <v>14556.3705897299</v>
      </c>
      <c r="P18" s="5" t="n">
        <f aca="false">ROW()-4</f>
        <v>14</v>
      </c>
      <c r="Q18" s="12" t="n">
        <f aca="false">Mesclun_Base_Labor_Hrs_Wk_Bed*Season_Weeks*(1+Mesclun_Diminishing_Rate)^(P18-1)</f>
        <v>52.8868777137541</v>
      </c>
      <c r="R18" s="12" t="n">
        <f aca="false">SUM($Q$5:Q18)</f>
        <v>683.837094814084</v>
      </c>
      <c r="S18" s="28" t="n">
        <f aca="false">Q18*Temp_Wage_Per_Hour+Mesclun_Fertilizer_Per_Bed</f>
        <v>1798.11619711077</v>
      </c>
      <c r="T18" s="29" t="n">
        <f aca="false">Mesclun_Price-S18</f>
        <v>901.883802889229</v>
      </c>
      <c r="U18" s="29" t="n">
        <f aca="false">P18*Mesclun_Price-P18*Mesclun_Fertilizer_Per_Bed-R18*Temp_Wage_Per_Hour</f>
        <v>13608.5880340275</v>
      </c>
    </row>
    <row r="19" customFormat="false" ht="15" hidden="false" customHeight="false" outlineLevel="0" collapsed="false">
      <c r="B19" s="5" t="n">
        <f aca="false">ROW()-4</f>
        <v>15</v>
      </c>
      <c r="C19" s="12" t="n">
        <f aca="false">Tomato_Base_Labor_Hrs_Wk_Bed*Season_Weeks*(1+Tomato_Diminishing_Rate)^(B19-1)</f>
        <v>341.774850224917</v>
      </c>
      <c r="D19" s="12" t="n">
        <f aca="false">SUM($C$5:C19)</f>
        <v>2859.52335247409</v>
      </c>
      <c r="E19" s="28" t="n">
        <f aca="false">C19*Temp_Wage_Per_Hour+Tomato_Fertilizer_Per_Bed</f>
        <v>6813.21139990456</v>
      </c>
      <c r="F19" s="29" t="n">
        <f aca="false">Tomato_Price-E19</f>
        <v>1986.78860009544</v>
      </c>
      <c r="G19" s="29" t="n">
        <f aca="false">B19*Tomato_Price-B19*Tomato_Fertilizer_Per_Bed-D19*Temp_Wage_Per_Hour</f>
        <v>69158.6746010498</v>
      </c>
      <c r="I19" s="5" t="n">
        <f aca="false">ROW()-4</f>
        <v>15</v>
      </c>
      <c r="J19" s="12" t="n">
        <f aca="false">Carrot_Base_Labor_Hrs_Wk_Bed*Season_Weeks*(1+Carrot_Diminishing_Rate)^(I19-1)</f>
        <v>42.3722589433613</v>
      </c>
      <c r="K19" s="12" t="n">
        <f aca="false">SUM($J$5:J19)</f>
        <v>537.742616677814</v>
      </c>
      <c r="L19" s="28" t="n">
        <f aca="false">J19*Temp_Wage_Per_Hour+Carrot_Fertilizer_Per_Bed</f>
        <v>1175.58241525675</v>
      </c>
      <c r="M19" s="29" t="n">
        <f aca="false">Carrot_Price-L19</f>
        <v>918.417584743248</v>
      </c>
      <c r="N19" s="29" t="n">
        <f aca="false">I19*Carrot_Price-I19*Carrot_Fertilizer_Per_Bed-K19*Temp_Wage_Per_Hour</f>
        <v>15474.7881744731</v>
      </c>
      <c r="P19" s="5" t="n">
        <f aca="false">ROW()-4</f>
        <v>15</v>
      </c>
      <c r="Q19" s="12" t="n">
        <f aca="false">Mesclun_Base_Labor_Hrs_Wk_Bed*Season_Weeks*(1+Mesclun_Diminishing_Rate)^(P19-1)</f>
        <v>53.547963685176</v>
      </c>
      <c r="R19" s="12" t="n">
        <f aca="false">SUM($Q$5:Q19)</f>
        <v>737.38505849926</v>
      </c>
      <c r="S19" s="28" t="n">
        <f aca="false">Q19*Temp_Wage_Per_Hour+Mesclun_Fertilizer_Per_Bed</f>
        <v>1809.59264957466</v>
      </c>
      <c r="T19" s="29" t="n">
        <f aca="false">Mesclun_Price-S19</f>
        <v>890.407350425344</v>
      </c>
      <c r="U19" s="29" t="n">
        <f aca="false">P19*Mesclun_Price-P19*Mesclun_Fertilizer_Per_Bed-R19*Temp_Wage_Per_Hour</f>
        <v>14498.9953844528</v>
      </c>
    </row>
    <row r="20" customFormat="false" ht="15" hidden="false" customHeight="false" outlineLevel="0" collapsed="false">
      <c r="B20" s="5" t="n">
        <f aca="false">ROW()-4</f>
        <v>16</v>
      </c>
      <c r="C20" s="12" t="n">
        <f aca="false">Tomato_Base_Labor_Hrs_Wk_Bed*Season_Weeks*(1+Tomato_Diminishing_Rate)^(B20-1)</f>
        <v>375.952335247409</v>
      </c>
      <c r="D20" s="12" t="n">
        <f aca="false">SUM($C$5:C20)</f>
        <v>3235.4756877215</v>
      </c>
      <c r="E20" s="28" t="n">
        <f aca="false">C20*Temp_Wage_Per_Hour+Tomato_Fertilizer_Per_Bed</f>
        <v>7406.53253989502</v>
      </c>
      <c r="F20" s="29" t="n">
        <f aca="false">Tomato_Price-E20</f>
        <v>1393.46746010498</v>
      </c>
      <c r="G20" s="29" t="n">
        <f aca="false">B20*Tomato_Price-B20*Tomato_Fertilizer_Per_Bed-D20*Temp_Wage_Per_Hour</f>
        <v>70552.1420611548</v>
      </c>
      <c r="I20" s="5" t="n">
        <f aca="false">ROW()-4</f>
        <v>16</v>
      </c>
      <c r="J20" s="12" t="n">
        <f aca="false">Carrot_Base_Labor_Hrs_Wk_Bed*Season_Weeks*(1+Carrot_Diminishing_Rate)^(I20-1)</f>
        <v>43.4315654169453</v>
      </c>
      <c r="K20" s="12" t="n">
        <f aca="false">SUM($J$5:J20)</f>
        <v>581.17418209476</v>
      </c>
      <c r="L20" s="28" t="n">
        <f aca="false">J20*Temp_Wage_Per_Hour+Carrot_Fertilizer_Per_Bed</f>
        <v>1193.97197563817</v>
      </c>
      <c r="M20" s="29" t="n">
        <f aca="false">Carrot_Price-L20</f>
        <v>900.02802436183</v>
      </c>
      <c r="N20" s="29" t="n">
        <f aca="false">I20*Carrot_Price-I20*Carrot_Fertilizer_Per_Bed-K20*Temp_Wage_Per_Hour</f>
        <v>16374.816198835</v>
      </c>
      <c r="P20" s="5" t="n">
        <f aca="false">ROW()-4</f>
        <v>16</v>
      </c>
      <c r="Q20" s="12" t="n">
        <f aca="false">Mesclun_Base_Labor_Hrs_Wk_Bed*Season_Weeks*(1+Mesclun_Diminishing_Rate)^(P20-1)</f>
        <v>54.2173132312407</v>
      </c>
      <c r="R20" s="12" t="n">
        <f aca="false">SUM($Q$5:Q20)</f>
        <v>791.602371730501</v>
      </c>
      <c r="S20" s="28" t="n">
        <f aca="false">Q20*Temp_Wage_Per_Hour+Mesclun_Fertilizer_Per_Bed</f>
        <v>1821.21255769434</v>
      </c>
      <c r="T20" s="29" t="n">
        <f aca="false">Mesclun_Price-S20</f>
        <v>878.787442305661</v>
      </c>
      <c r="U20" s="29" t="n">
        <f aca="false">P20*Mesclun_Price-P20*Mesclun_Fertilizer_Per_Bed-R20*Temp_Wage_Per_Hour</f>
        <v>15377.7828267585</v>
      </c>
    </row>
    <row r="21" customFormat="false" ht="15" hidden="false" customHeight="false" outlineLevel="0" collapsed="false">
      <c r="B21" s="5" t="n">
        <f aca="false">ROW()-4</f>
        <v>17</v>
      </c>
      <c r="C21" s="12" t="n">
        <f aca="false">Tomato_Base_Labor_Hrs_Wk_Bed*Season_Weeks*(1+Tomato_Diminishing_Rate)^(B21-1)</f>
        <v>413.54756877215</v>
      </c>
      <c r="D21" s="12" t="n">
        <f aca="false">SUM($C$5:C21)</f>
        <v>3649.02325649365</v>
      </c>
      <c r="E21" s="28" t="n">
        <f aca="false">C21*Temp_Wage_Per_Hour+Tomato_Fertilizer_Per_Bed</f>
        <v>8059.18579388452</v>
      </c>
      <c r="F21" s="29" t="n">
        <f aca="false">Tomato_Price-E21</f>
        <v>740.814206115477</v>
      </c>
      <c r="G21" s="29" t="n">
        <f aca="false">B21*Tomato_Price-B21*Tomato_Fertilizer_Per_Bed-D21*Temp_Wage_Per_Hour</f>
        <v>71292.9562672703</v>
      </c>
      <c r="I21" s="5" t="n">
        <f aca="false">ROW()-4</f>
        <v>17</v>
      </c>
      <c r="J21" s="12" t="n">
        <f aca="false">Carrot_Base_Labor_Hrs_Wk_Bed*Season_Weeks*(1+Carrot_Diminishing_Rate)^(I21-1)</f>
        <v>44.5173545523689</v>
      </c>
      <c r="K21" s="12" t="n">
        <f aca="false">SUM($J$5:J21)</f>
        <v>625.691536647129</v>
      </c>
      <c r="L21" s="28" t="n">
        <f aca="false">J21*Temp_Wage_Per_Hour+Carrot_Fertilizer_Per_Bed</f>
        <v>1212.82127502912</v>
      </c>
      <c r="M21" s="29" t="n">
        <f aca="false">Carrot_Price-L21</f>
        <v>881.178724970875</v>
      </c>
      <c r="N21" s="29" t="n">
        <f aca="false">I21*Carrot_Price-I21*Carrot_Fertilizer_Per_Bed-K21*Temp_Wage_Per_Hour</f>
        <v>17255.9949238058</v>
      </c>
      <c r="P21" s="5" t="n">
        <f aca="false">ROW()-4</f>
        <v>17</v>
      </c>
      <c r="Q21" s="12" t="n">
        <f aca="false">Mesclun_Base_Labor_Hrs_Wk_Bed*Season_Weeks*(1+Mesclun_Diminishing_Rate)^(P21-1)</f>
        <v>54.8950296466312</v>
      </c>
      <c r="R21" s="12" t="n">
        <f aca="false">SUM($Q$5:Q21)</f>
        <v>846.497401377132</v>
      </c>
      <c r="S21" s="28" t="n">
        <f aca="false">Q21*Temp_Wage_Per_Hour+Mesclun_Fertilizer_Per_Bed</f>
        <v>1832.97771466552</v>
      </c>
      <c r="T21" s="29" t="n">
        <f aca="false">Mesclun_Price-S21</f>
        <v>867.022285334482</v>
      </c>
      <c r="U21" s="29" t="n">
        <f aca="false">P21*Mesclun_Price-P21*Mesclun_Fertilizer_Per_Bed-R21*Temp_Wage_Per_Hour</f>
        <v>16244.805112093</v>
      </c>
    </row>
    <row r="22" customFormat="false" ht="15" hidden="false" customHeight="false" outlineLevel="0" collapsed="false">
      <c r="B22" s="5" t="n">
        <f aca="false">ROW()-4</f>
        <v>18</v>
      </c>
      <c r="C22" s="12" t="n">
        <f aca="false">Tomato_Base_Labor_Hrs_Wk_Bed*Season_Weeks*(1+Tomato_Diminishing_Rate)^(B22-1)</f>
        <v>454.902325649365</v>
      </c>
      <c r="D22" s="12" t="n">
        <f aca="false">SUM($C$5:C22)</f>
        <v>4103.92558214301</v>
      </c>
      <c r="E22" s="28" t="n">
        <f aca="false">C22*Temp_Wage_Per_Hour+Tomato_Fertilizer_Per_Bed</f>
        <v>8777.10437327298</v>
      </c>
      <c r="F22" s="29" t="n">
        <f aca="false">Tomato_Price-E22</f>
        <v>22.8956267270223</v>
      </c>
      <c r="G22" s="29" t="n">
        <f aca="false">B22*Tomato_Price-B22*Tomato_Fertilizer_Per_Bed-D22*Temp_Wage_Per_Hour</f>
        <v>71315.8518939973</v>
      </c>
      <c r="I22" s="5" t="n">
        <f aca="false">ROW()-4</f>
        <v>18</v>
      </c>
      <c r="J22" s="12" t="n">
        <f aca="false">Carrot_Base_Labor_Hrs_Wk_Bed*Season_Weeks*(1+Carrot_Diminishing_Rate)^(I22-1)</f>
        <v>45.6302884161782</v>
      </c>
      <c r="K22" s="12" t="n">
        <f aca="false">SUM($J$5:J22)</f>
        <v>671.321825063307</v>
      </c>
      <c r="L22" s="28" t="n">
        <f aca="false">J22*Temp_Wage_Per_Hour+Carrot_Fertilizer_Per_Bed</f>
        <v>1232.14180690485</v>
      </c>
      <c r="M22" s="29" t="n">
        <f aca="false">Carrot_Price-L22</f>
        <v>861.858193095147</v>
      </c>
      <c r="N22" s="29" t="n">
        <f aca="false">I22*Carrot_Price-I22*Carrot_Fertilizer_Per_Bed-K22*Temp_Wage_Per_Hour</f>
        <v>18117.853116901</v>
      </c>
      <c r="P22" s="5" t="n">
        <f aca="false">ROW()-4</f>
        <v>18</v>
      </c>
      <c r="Q22" s="12" t="n">
        <f aca="false">Mesclun_Base_Labor_Hrs_Wk_Bed*Season_Weeks*(1+Mesclun_Diminishing_Rate)^(P22-1)</f>
        <v>55.5812175172141</v>
      </c>
      <c r="R22" s="12" t="n">
        <f aca="false">SUM($Q$5:Q22)</f>
        <v>902.078618894346</v>
      </c>
      <c r="S22" s="28" t="n">
        <f aca="false">Q22*Temp_Wage_Per_Hour+Mesclun_Fertilizer_Per_Bed</f>
        <v>1844.88993609884</v>
      </c>
      <c r="T22" s="29" t="n">
        <f aca="false">Mesclun_Price-S22</f>
        <v>855.110063901163</v>
      </c>
      <c r="U22" s="29" t="n">
        <f aca="false">P22*Mesclun_Price-P22*Mesclun_Fertilizer_Per_Bed-R22*Temp_Wage_Per_Hour</f>
        <v>17099.9151759942</v>
      </c>
    </row>
    <row r="23" customFormat="false" ht="15" hidden="false" customHeight="false" outlineLevel="0" collapsed="false">
      <c r="B23" s="5" t="n">
        <f aca="false">ROW()-4</f>
        <v>19</v>
      </c>
      <c r="C23" s="12" t="n">
        <f aca="false">Tomato_Base_Labor_Hrs_Wk_Bed*Season_Weeks*(1+Tomato_Diminishing_Rate)^(B23-1)</f>
        <v>500.392558214302</v>
      </c>
      <c r="D23" s="12" t="n">
        <f aca="false">SUM($C$5:C23)</f>
        <v>4604.31814035731</v>
      </c>
      <c r="E23" s="28" t="n">
        <f aca="false">C23*Temp_Wage_Per_Hour+Tomato_Fertilizer_Per_Bed</f>
        <v>9566.81481060028</v>
      </c>
      <c r="F23" s="29" t="n">
        <f aca="false">Tomato_Price-E23</f>
        <v>-766.814810600276</v>
      </c>
      <c r="G23" s="29" t="n">
        <f aca="false">B23*Tomato_Price-B23*Tomato_Fertilizer_Per_Bed-D23*Temp_Wage_Per_Hour</f>
        <v>70549.037083397</v>
      </c>
      <c r="I23" s="5" t="n">
        <f aca="false">ROW()-4</f>
        <v>19</v>
      </c>
      <c r="J23" s="12" t="n">
        <f aca="false">Carrot_Base_Labor_Hrs_Wk_Bed*Season_Weeks*(1+Carrot_Diminishing_Rate)^(I23-1)</f>
        <v>46.7710456265826</v>
      </c>
      <c r="K23" s="12" t="n">
        <f aca="false">SUM($J$5:J23)</f>
        <v>718.092870689889</v>
      </c>
      <c r="L23" s="28" t="n">
        <f aca="false">J23*Temp_Wage_Per_Hour+Carrot_Fertilizer_Per_Bed</f>
        <v>1251.94535207747</v>
      </c>
      <c r="M23" s="29" t="n">
        <f aca="false">Carrot_Price-L23</f>
        <v>842.054647922526</v>
      </c>
      <c r="N23" s="29" t="n">
        <f aca="false">I23*Carrot_Price-I23*Carrot_Fertilizer_Per_Bed-K23*Temp_Wage_Per_Hour</f>
        <v>18959.9077648235</v>
      </c>
      <c r="P23" s="5" t="n">
        <f aca="false">ROW()-4</f>
        <v>19</v>
      </c>
      <c r="Q23" s="12" t="n">
        <f aca="false">Mesclun_Base_Labor_Hrs_Wk_Bed*Season_Weeks*(1+Mesclun_Diminishing_Rate)^(P23-1)</f>
        <v>56.2759827361793</v>
      </c>
      <c r="R23" s="12" t="n">
        <f aca="false">SUM($Q$5:Q23)</f>
        <v>958.354601630526</v>
      </c>
      <c r="S23" s="28" t="n">
        <f aca="false">Q23*Temp_Wage_Per_Hour+Mesclun_Fertilizer_Per_Bed</f>
        <v>1856.95106030007</v>
      </c>
      <c r="T23" s="29" t="n">
        <f aca="false">Mesclun_Price-S23</f>
        <v>843.048939699928</v>
      </c>
      <c r="U23" s="29" t="n">
        <f aca="false">P23*Mesclun_Price-P23*Mesclun_Fertilizer_Per_Bed-R23*Temp_Wage_Per_Hour</f>
        <v>17942.9641156941</v>
      </c>
    </row>
    <row r="24" customFormat="false" ht="15" hidden="false" customHeight="false" outlineLevel="0" collapsed="false">
      <c r="B24" s="5" t="n">
        <f aca="false">ROW()-4</f>
        <v>20</v>
      </c>
      <c r="C24" s="12" t="n">
        <f aca="false">Tomato_Base_Labor_Hrs_Wk_Bed*Season_Weeks*(1+Tomato_Diminishing_Rate)^(B24-1)</f>
        <v>550.431814035732</v>
      </c>
      <c r="D24" s="12" t="n">
        <f aca="false">SUM($C$5:C24)</f>
        <v>5154.74995439305</v>
      </c>
      <c r="E24" s="28" t="n">
        <f aca="false">C24*Temp_Wage_Per_Hour+Tomato_Fertilizer_Per_Bed</f>
        <v>10435.4962916603</v>
      </c>
      <c r="F24" s="29" t="n">
        <f aca="false">Tomato_Price-E24</f>
        <v>-1635.4962916603</v>
      </c>
      <c r="G24" s="29" t="n">
        <f aca="false">B24*Tomato_Price-B24*Tomato_Fertilizer_Per_Bed-D24*Temp_Wage_Per_Hour</f>
        <v>68913.5407917367</v>
      </c>
      <c r="I24" s="5" t="n">
        <f aca="false">ROW()-4</f>
        <v>20</v>
      </c>
      <c r="J24" s="12" t="n">
        <f aca="false">Carrot_Base_Labor_Hrs_Wk_Bed*Season_Weeks*(1+Carrot_Diminishing_Rate)^(I24-1)</f>
        <v>47.9403217672472</v>
      </c>
      <c r="K24" s="12" t="n">
        <f aca="false">SUM($J$5:J24)</f>
        <v>766.033192457137</v>
      </c>
      <c r="L24" s="28" t="n">
        <f aca="false">J24*Temp_Wage_Per_Hour+Carrot_Fertilizer_Per_Bed</f>
        <v>1272.24398587941</v>
      </c>
      <c r="M24" s="29" t="n">
        <f aca="false">Carrot_Price-L24</f>
        <v>821.756014120589</v>
      </c>
      <c r="N24" s="29" t="n">
        <f aca="false">I24*Carrot_Price-I24*Carrot_Fertilizer_Per_Bed-K24*Temp_Wage_Per_Hour</f>
        <v>19781.6637789441</v>
      </c>
      <c r="P24" s="5" t="n">
        <f aca="false">ROW()-4</f>
        <v>20</v>
      </c>
      <c r="Q24" s="12" t="n">
        <f aca="false">Mesclun_Base_Labor_Hrs_Wk_Bed*Season_Weeks*(1+Mesclun_Diminishing_Rate)^(P24-1)</f>
        <v>56.9794325203815</v>
      </c>
      <c r="R24" s="12" t="n">
        <f aca="false">SUM($Q$5:Q24)</f>
        <v>1015.33403415091</v>
      </c>
      <c r="S24" s="28" t="n">
        <f aca="false">Q24*Temp_Wage_Per_Hour+Mesclun_Fertilizer_Per_Bed</f>
        <v>1869.16294855382</v>
      </c>
      <c r="T24" s="29" t="n">
        <f aca="false">Mesclun_Price-S24</f>
        <v>830.837051446177</v>
      </c>
      <c r="U24" s="29" t="n">
        <f aca="false">P24*Mesclun_Price-P24*Mesclun_Fertilizer_Per_Bed-R24*Temp_Wage_Per_Hour</f>
        <v>18773.8011671403</v>
      </c>
    </row>
    <row r="25" customFormat="false" ht="15" hidden="false" customHeight="false" outlineLevel="0" collapsed="false">
      <c r="P25" s="5" t="n">
        <f aca="false">ROW()-4</f>
        <v>21</v>
      </c>
      <c r="Q25" s="12" t="n">
        <f aca="false">Mesclun_Base_Labor_Hrs_Wk_Bed*Season_Weeks*(1+Mesclun_Diminishing_Rate)^(P25-1)</f>
        <v>57.6916754268863</v>
      </c>
      <c r="R25" s="12" t="n">
        <f aca="false">SUM($Q$5:Q25)</f>
        <v>1073.02570957779</v>
      </c>
      <c r="S25" s="28" t="n">
        <f aca="false">Q25*Temp_Wage_Per_Hour+Mesclun_Fertilizer_Per_Bed</f>
        <v>1881.52748541075</v>
      </c>
      <c r="T25" s="29" t="n">
        <f aca="false">Mesclun_Price-S25</f>
        <v>818.472514589254</v>
      </c>
      <c r="U25" s="29" t="n">
        <f aca="false">P25*Mesclun_Price-P25*Mesclun_Fertilizer_Per_Bed-R25*Temp_Wage_Per_Hour</f>
        <v>19592.2736817295</v>
      </c>
    </row>
    <row r="26" customFormat="false" ht="15" hidden="false" customHeight="false" outlineLevel="0" collapsed="false">
      <c r="B26" s="14" t="s">
        <v>83</v>
      </c>
      <c r="C26" s="14"/>
      <c r="D26" s="14"/>
      <c r="E26" s="14"/>
      <c r="F26" s="30" t="n">
        <f aca="false">SUMPRODUCT((F5:F24&gt;=0)*1)</f>
        <v>18</v>
      </c>
      <c r="I26" s="14" t="s">
        <v>83</v>
      </c>
      <c r="J26" s="14"/>
      <c r="K26" s="14"/>
      <c r="L26" s="14"/>
      <c r="M26" s="30" t="n">
        <f aca="false">SUMPRODUCT((M5:M24&gt;=0)*1)</f>
        <v>20</v>
      </c>
      <c r="P26" s="5" t="n">
        <f aca="false">ROW()-4</f>
        <v>22</v>
      </c>
      <c r="Q26" s="12" t="n">
        <f aca="false">Mesclun_Base_Labor_Hrs_Wk_Bed*Season_Weeks*(1+Mesclun_Diminishing_Rate)^(P26-1)</f>
        <v>58.4128213697224</v>
      </c>
      <c r="R26" s="12" t="n">
        <f aca="false">SUM($Q$5:Q26)</f>
        <v>1131.43853094752</v>
      </c>
      <c r="S26" s="28" t="n">
        <f aca="false">Q26*Temp_Wage_Per_Hour+Mesclun_Fertilizer_Per_Bed</f>
        <v>1894.04657897838</v>
      </c>
      <c r="T26" s="29" t="n">
        <f aca="false">Mesclun_Price-S26</f>
        <v>805.95342102162</v>
      </c>
      <c r="U26" s="29" t="n">
        <f aca="false">P26*Mesclun_Price-P26*Mesclun_Fertilizer_Per_Bed-R26*Temp_Wage_Per_Hour</f>
        <v>20398.2271027511</v>
      </c>
    </row>
    <row r="27" customFormat="false" ht="15" hidden="false" customHeight="false" outlineLevel="0" collapsed="false">
      <c r="P27" s="5" t="n">
        <f aca="false">ROW()-4</f>
        <v>23</v>
      </c>
      <c r="Q27" s="12" t="n">
        <f aca="false">Mesclun_Base_Labor_Hrs_Wk_Bed*Season_Weeks*(1+Mesclun_Diminishing_Rate)^(P27-1)</f>
        <v>59.1429816368439</v>
      </c>
      <c r="R27" s="12" t="n">
        <f aca="false">SUM($Q$5:Q27)</f>
        <v>1190.58151258436</v>
      </c>
      <c r="S27" s="28" t="n">
        <f aca="false">Q27*Temp_Wage_Per_Hour+Mesclun_Fertilizer_Per_Bed</f>
        <v>1906.72216121561</v>
      </c>
      <c r="T27" s="29" t="n">
        <f aca="false">Mesclun_Price-S27</f>
        <v>793.27783878439</v>
      </c>
      <c r="U27" s="29" t="n">
        <f aca="false">P27*Mesclun_Price-P27*Mesclun_Fertilizer_Per_Bed-R27*Temp_Wage_Per_Hour</f>
        <v>21191.5049415355</v>
      </c>
    </row>
    <row r="28" customFormat="false" ht="15" hidden="false" customHeight="false" outlineLevel="0" collapsed="false">
      <c r="P28" s="5" t="n">
        <f aca="false">ROW()-4</f>
        <v>24</v>
      </c>
      <c r="Q28" s="12" t="n">
        <f aca="false">Mesclun_Base_Labor_Hrs_Wk_Bed*Season_Weeks*(1+Mesclun_Diminishing_Rate)^(P28-1)</f>
        <v>59.8822689073045</v>
      </c>
      <c r="R28" s="12" t="n">
        <f aca="false">SUM($Q$5:Q28)</f>
        <v>1250.46378149166</v>
      </c>
      <c r="S28" s="28" t="n">
        <f aca="false">Q28*Temp_Wage_Per_Hour+Mesclun_Fertilizer_Per_Bed</f>
        <v>1919.55618823081</v>
      </c>
      <c r="T28" s="29" t="n">
        <f aca="false">Mesclun_Price-S28</f>
        <v>780.443811769195</v>
      </c>
      <c r="U28" s="29" t="n">
        <f aca="false">P28*Mesclun_Price-P28*Mesclun_Fertilizer_Per_Bed-R28*Temp_Wage_Per_Hour</f>
        <v>21971.9487533047</v>
      </c>
    </row>
    <row r="29" customFormat="false" ht="15" hidden="false" customHeight="false" outlineLevel="0" collapsed="false">
      <c r="P29" s="5" t="n">
        <f aca="false">ROW()-4</f>
        <v>25</v>
      </c>
      <c r="Q29" s="12" t="n">
        <f aca="false">Mesclun_Base_Labor_Hrs_Wk_Bed*Season_Weeks*(1+Mesclun_Diminishing_Rate)^(P29-1)</f>
        <v>60.6307972686458</v>
      </c>
      <c r="R29" s="12" t="n">
        <f aca="false">SUM($Q$5:Q29)</f>
        <v>1311.09457876031</v>
      </c>
      <c r="S29" s="28" t="n">
        <f aca="false">Q29*Temp_Wage_Per_Hour+Mesclun_Fertilizer_Per_Bed</f>
        <v>1932.55064058369</v>
      </c>
      <c r="T29" s="29" t="n">
        <f aca="false">Mesclun_Price-S29</f>
        <v>767.44935941631</v>
      </c>
      <c r="U29" s="29" t="n">
        <f aca="false">P29*Mesclun_Price-P29*Mesclun_Fertilizer_Per_Bed-R29*Temp_Wage_Per_Hour</f>
        <v>22739.398112721</v>
      </c>
    </row>
    <row r="30" customFormat="false" ht="15" hidden="false" customHeight="false" outlineLevel="0" collapsed="false">
      <c r="P30" s="5" t="n">
        <f aca="false">ROW()-4</f>
        <v>26</v>
      </c>
      <c r="Q30" s="12" t="n">
        <f aca="false">Mesclun_Base_Labor_Hrs_Wk_Bed*Season_Weeks*(1+Mesclun_Diminishing_Rate)^(P30-1)</f>
        <v>61.3886822345038</v>
      </c>
      <c r="R30" s="12" t="n">
        <f aca="false">SUM($Q$5:Q30)</f>
        <v>1372.48326099481</v>
      </c>
      <c r="S30" s="28" t="n">
        <f aca="false">Q30*Temp_Wage_Per_Hour+Mesclun_Fertilizer_Per_Bed</f>
        <v>1945.70752359099</v>
      </c>
      <c r="T30" s="29" t="n">
        <f aca="false">Mesclun_Price-S30</f>
        <v>754.292476409014</v>
      </c>
      <c r="U30" s="29" t="n">
        <f aca="false">P30*Mesclun_Price-P30*Mesclun_Fertilizer_Per_Bed-R30*Temp_Wage_Per_Hour</f>
        <v>23493.69058913</v>
      </c>
    </row>
    <row r="31" customFormat="false" ht="15" hidden="false" customHeight="false" outlineLevel="0" collapsed="false">
      <c r="P31" s="5" t="n">
        <f aca="false">ROW()-4</f>
        <v>27</v>
      </c>
      <c r="Q31" s="12" t="n">
        <f aca="false">Mesclun_Base_Labor_Hrs_Wk_Bed*Season_Weeks*(1+Mesclun_Diminishing_Rate)^(P31-1)</f>
        <v>62.1560407624351</v>
      </c>
      <c r="R31" s="12" t="n">
        <f aca="false">SUM($Q$5:Q31)</f>
        <v>1434.63930175725</v>
      </c>
      <c r="S31" s="28" t="n">
        <f aca="false">Q31*Temp_Wage_Per_Hour+Mesclun_Fertilizer_Per_Bed</f>
        <v>1959.02886763587</v>
      </c>
      <c r="T31" s="29" t="n">
        <f aca="false">Mesclun_Price-S31</f>
        <v>740.971132364127</v>
      </c>
      <c r="U31" s="29" t="n">
        <f aca="false">P31*Mesclun_Price-P31*Mesclun_Fertilizer_Per_Bed-R31*Temp_Wage_Per_Hour</f>
        <v>24234.6617214942</v>
      </c>
    </row>
    <row r="32" customFormat="false" ht="15" hidden="false" customHeight="false" outlineLevel="0" collapsed="false">
      <c r="P32" s="5" t="n">
        <f aca="false">ROW()-4</f>
        <v>28</v>
      </c>
      <c r="Q32" s="12" t="n">
        <f aca="false">Mesclun_Base_Labor_Hrs_Wk_Bed*Season_Weeks*(1+Mesclun_Diminishing_Rate)^(P32-1)</f>
        <v>62.9329912719656</v>
      </c>
      <c r="R32" s="12" t="n">
        <f aca="false">SUM($Q$5:Q32)</f>
        <v>1497.57229302921</v>
      </c>
      <c r="S32" s="28" t="n">
        <f aca="false">Q32*Temp_Wage_Per_Hour+Mesclun_Fertilizer_Per_Bed</f>
        <v>1972.51672848132</v>
      </c>
      <c r="T32" s="29" t="n">
        <f aca="false">Mesclun_Price-S32</f>
        <v>727.483271518678</v>
      </c>
      <c r="U32" s="29" t="n">
        <f aca="false">P32*Mesclun_Price-P32*Mesclun_Fertilizer_Per_Bed-R32*Temp_Wage_Per_Hour</f>
        <v>24962.1449930128</v>
      </c>
    </row>
    <row r="33" customFormat="false" ht="15" hidden="false" customHeight="false" outlineLevel="0" collapsed="false">
      <c r="P33" s="5" t="n">
        <f aca="false">ROW()-4</f>
        <v>29</v>
      </c>
      <c r="Q33" s="12" t="n">
        <f aca="false">Mesclun_Base_Labor_Hrs_Wk_Bed*Season_Weeks*(1+Mesclun_Diminishing_Rate)^(P33-1)</f>
        <v>63.7196536628651</v>
      </c>
      <c r="R33" s="12" t="n">
        <f aca="false">SUM($Q$5:Q33)</f>
        <v>1561.29194669208</v>
      </c>
      <c r="S33" s="28" t="n">
        <f aca="false">Q33*Temp_Wage_Per_Hour+Mesclun_Fertilizer_Per_Bed</f>
        <v>1986.17318758734</v>
      </c>
      <c r="T33" s="29" t="n">
        <f aca="false">Mesclun_Price-S33</f>
        <v>713.826812412662</v>
      </c>
      <c r="U33" s="29" t="n">
        <f aca="false">P33*Mesclun_Price-P33*Mesclun_Fertilizer_Per_Bed-R33*Temp_Wage_Per_Hour</f>
        <v>25675.9718054255</v>
      </c>
    </row>
    <row r="34" customFormat="false" ht="15" hidden="false" customHeight="false" outlineLevel="0" collapsed="false">
      <c r="P34" s="5" t="n">
        <f aca="false">ROW()-4</f>
        <v>30</v>
      </c>
      <c r="Q34" s="12" t="n">
        <f aca="false">Mesclun_Base_Labor_Hrs_Wk_Bed*Season_Weeks*(1+Mesclun_Diminishing_Rate)^(P34-1)</f>
        <v>64.5161493336509</v>
      </c>
      <c r="R34" s="12" t="n">
        <f aca="false">SUM($Q$5:Q34)</f>
        <v>1625.80809602573</v>
      </c>
      <c r="S34" s="28" t="n">
        <f aca="false">Q34*Temp_Wage_Per_Hour+Mesclun_Fertilizer_Per_Bed</f>
        <v>2000.00035243218</v>
      </c>
      <c r="T34" s="29" t="n">
        <f aca="false">Mesclun_Price-S34</f>
        <v>699.99964756782</v>
      </c>
      <c r="U34" s="29" t="n">
        <f aca="false">P34*Mesclun_Price-P34*Mesclun_Fertilizer_Per_Bed-R34*Temp_Wage_Per_Hour</f>
        <v>26375.9714529933</v>
      </c>
    </row>
    <row r="36" customFormat="false" ht="15" hidden="false" customHeight="false" outlineLevel="0" collapsed="false">
      <c r="P36" s="14" t="s">
        <v>83</v>
      </c>
      <c r="Q36" s="14"/>
      <c r="R36" s="14"/>
      <c r="S36" s="14"/>
      <c r="T36" s="30" t="n">
        <f aca="false">SUMPRODUCT((T5:T34&gt;=0)*1)</f>
        <v>30</v>
      </c>
    </row>
    <row r="38" customFormat="false" ht="17.35" hidden="false" customHeight="false" outlineLevel="0" collapsed="false">
      <c r="A38" s="1" t="s">
        <v>84</v>
      </c>
      <c r="B38" s="1"/>
      <c r="C38" s="1"/>
      <c r="D38" s="1"/>
      <c r="E38" s="1"/>
      <c r="F38" s="1"/>
    </row>
    <row r="39" customFormat="false" ht="15" hidden="false" customHeight="false" outlineLevel="0" collapsed="false">
      <c r="A39" s="10" t="s">
        <v>85</v>
      </c>
      <c r="B39" s="10"/>
      <c r="C39" s="10"/>
      <c r="D39" s="10"/>
      <c r="E39" s="6" t="n">
        <f aca="false">Solver!$C$6</f>
        <v>10</v>
      </c>
    </row>
    <row r="40" customFormat="false" ht="15" hidden="false" customHeight="false" outlineLevel="0" collapsed="false">
      <c r="A40" s="10" t="s">
        <v>86</v>
      </c>
      <c r="B40" s="10"/>
      <c r="C40" s="10"/>
      <c r="D40" s="10"/>
      <c r="E40" s="6" t="n">
        <f aca="false">Solver!$C$7</f>
        <v>15</v>
      </c>
    </row>
    <row r="41" customFormat="false" ht="15" hidden="false" customHeight="false" outlineLevel="0" collapsed="false">
      <c r="A41" s="10" t="s">
        <v>87</v>
      </c>
      <c r="B41" s="10"/>
      <c r="C41" s="10"/>
      <c r="D41" s="10"/>
      <c r="E41" s="6" t="n">
        <f aca="false">Solver!$C$8</f>
        <v>4</v>
      </c>
    </row>
    <row r="42" customFormat="false" ht="15" hidden="false" customHeight="false" outlineLevel="0" collapsed="false">
      <c r="A42" s="10" t="s">
        <v>88</v>
      </c>
      <c r="B42" s="10"/>
      <c r="C42" s="10"/>
      <c r="D42" s="10"/>
      <c r="E42" s="6" t="n">
        <f aca="false">Solver!$C$9</f>
        <v>1</v>
      </c>
    </row>
    <row r="43" customFormat="false" ht="15" hidden="false" customHeight="false" outlineLevel="0" collapsed="false">
      <c r="A43" s="10" t="s">
        <v>89</v>
      </c>
      <c r="B43" s="10"/>
      <c r="C43" s="10"/>
      <c r="D43" s="10"/>
      <c r="E43" s="11" t="n">
        <f aca="false">IF($E$39=0,0,INDEX(D5:D24,$E$39))</f>
        <v>1434.36821409</v>
      </c>
    </row>
    <row r="44" customFormat="false" ht="15" hidden="false" customHeight="false" outlineLevel="0" collapsed="false">
      <c r="A44" s="10" t="s">
        <v>90</v>
      </c>
      <c r="B44" s="10"/>
      <c r="C44" s="10"/>
      <c r="D44" s="10"/>
      <c r="E44" s="11" t="n">
        <f aca="false">IF($E$40=0,0,INDEX(K5:K24,$E$40))</f>
        <v>537.742616677814</v>
      </c>
    </row>
    <row r="45" customFormat="false" ht="15" hidden="false" customHeight="false" outlineLevel="0" collapsed="false">
      <c r="A45" s="10" t="s">
        <v>91</v>
      </c>
      <c r="B45" s="10"/>
      <c r="C45" s="10"/>
      <c r="D45" s="10"/>
      <c r="E45" s="11" t="n">
        <f aca="false">IF($E$41=0,0,INDEX(R5:R34,$E$41))</f>
        <v>183.403212890625</v>
      </c>
    </row>
    <row r="46" customFormat="false" ht="15" hidden="false" customHeight="false" outlineLevel="0" collapsed="false">
      <c r="A46" s="14" t="s">
        <v>14</v>
      </c>
      <c r="B46" s="14"/>
      <c r="C46" s="14"/>
      <c r="D46" s="14"/>
      <c r="E46" s="31" t="n">
        <f aca="false">$E$43+$E$44+$E$45</f>
        <v>2155.51404365844</v>
      </c>
    </row>
    <row r="47" customFormat="false" ht="15" hidden="false" customHeight="false" outlineLevel="0" collapsed="false">
      <c r="A47" s="10" t="s">
        <v>92</v>
      </c>
      <c r="B47" s="10"/>
      <c r="C47" s="10"/>
      <c r="D47" s="10"/>
      <c r="E47" s="13" t="n">
        <f aca="false">Temp_Wage_Per_Hour*MAX(0,$E$46-Own_Labor_Hours)</f>
        <v>24920.5237979105</v>
      </c>
    </row>
    <row r="48" customFormat="false" ht="15" hidden="false" customHeight="false" outlineLevel="0" collapsed="false">
      <c r="A48" s="10" t="s">
        <v>93</v>
      </c>
      <c r="B48" s="10"/>
      <c r="C48" s="10"/>
      <c r="D48" s="10"/>
      <c r="E48" s="13" t="n">
        <f aca="false">$E$42*Temp_Worker_Flat_Cost</f>
        <v>25000</v>
      </c>
    </row>
    <row r="49" customFormat="false" ht="15" hidden="false" customHeight="false" outlineLevel="0" collapsed="false">
      <c r="A49" s="10" t="s">
        <v>7</v>
      </c>
      <c r="B49" s="10"/>
      <c r="C49" s="10"/>
      <c r="D49" s="10"/>
      <c r="E49" s="13" t="n">
        <f aca="false">$E$39*Tomato_Price+$E$40*Carrot_Price+$E$41*Mesclun_Price</f>
        <v>130210</v>
      </c>
    </row>
    <row r="50" customFormat="false" ht="15" hidden="false" customHeight="false" outlineLevel="0" collapsed="false">
      <c r="A50" s="10" t="s">
        <v>16</v>
      </c>
      <c r="B50" s="10"/>
      <c r="C50" s="10"/>
      <c r="D50" s="10"/>
      <c r="E50" s="13" t="n">
        <f aca="false">$E$39*Tomato_Fertilizer_Per_Bed+$E$40*Carrot_Fertilizer_Per_Bed+$E$41*Mesclun_Fertilizer_Per_Bed</f>
        <v>18920</v>
      </c>
    </row>
    <row r="51" customFormat="false" ht="15" hidden="false" customHeight="false" outlineLevel="0" collapsed="false">
      <c r="A51" s="14" t="s">
        <v>19</v>
      </c>
      <c r="B51" s="14"/>
      <c r="C51" s="14"/>
      <c r="D51" s="14"/>
      <c r="E51" s="15" t="n">
        <f aca="false">$E$49-$E$50-$E$47-$E$48</f>
        <v>61369.4762020895</v>
      </c>
    </row>
    <row r="52" customFormat="false" ht="15" hidden="false" customHeight="false" outlineLevel="0" collapsed="false">
      <c r="A52" s="14" t="s">
        <v>94</v>
      </c>
      <c r="B52" s="14"/>
      <c r="C52" s="14"/>
      <c r="D52" s="14"/>
      <c r="E52" s="15" t="n">
        <f aca="false">$E$51-Fixed_Cost-Farmer_Salary</f>
        <v>-8630.52379791052</v>
      </c>
    </row>
    <row r="54" customFormat="false" ht="15" hidden="false" customHeight="false" outlineLevel="0" collapsed="false">
      <c r="A54" s="32" t="s">
        <v>95</v>
      </c>
    </row>
    <row r="55" customFormat="false" ht="15" hidden="false" customHeight="false" outlineLevel="0" collapsed="false">
      <c r="A55" s="10" t="s">
        <v>96</v>
      </c>
      <c r="B55" s="10"/>
      <c r="C55" s="10"/>
      <c r="D55" s="10"/>
      <c r="E55" s="18" t="str">
        <f aca="false">IF($E$39&lt;=Tomato_Bed_Cap,"OK","VIOLATION")</f>
        <v>OK</v>
      </c>
    </row>
    <row r="56" customFormat="false" ht="15" hidden="false" customHeight="false" outlineLevel="0" collapsed="false">
      <c r="A56" s="10" t="s">
        <v>97</v>
      </c>
      <c r="B56" s="10"/>
      <c r="C56" s="10"/>
      <c r="D56" s="10"/>
      <c r="E56" s="18" t="str">
        <f aca="false">IF($E$40&lt;=Carrot_Bed_Cap,"OK","VIOLATION")</f>
        <v>OK</v>
      </c>
    </row>
    <row r="57" customFormat="false" ht="15" hidden="false" customHeight="false" outlineLevel="0" collapsed="false">
      <c r="A57" s="10" t="s">
        <v>98</v>
      </c>
      <c r="B57" s="10"/>
      <c r="C57" s="10"/>
      <c r="D57" s="10"/>
      <c r="E57" s="18" t="str">
        <f aca="false">IF($E$41&lt;=Mesclun_Bed_Cap,"OK","VIOLATION")</f>
        <v>OK</v>
      </c>
    </row>
    <row r="58" customFormat="false" ht="15" hidden="false" customHeight="false" outlineLevel="0" collapsed="false">
      <c r="A58" s="10" t="s">
        <v>99</v>
      </c>
      <c r="B58" s="10"/>
      <c r="C58" s="10"/>
      <c r="D58" s="10"/>
      <c r="E58" s="18" t="str">
        <f aca="false">IF($E$39+$E$40+$E$41&lt;=Total_Beds,"OK","VIOLATION")</f>
        <v>OK</v>
      </c>
    </row>
    <row r="59" customFormat="false" ht="15" hidden="false" customHeight="false" outlineLevel="0" collapsed="false">
      <c r="A59" s="10" t="s">
        <v>100</v>
      </c>
      <c r="B59" s="10"/>
      <c r="C59" s="10"/>
      <c r="D59" s="10"/>
      <c r="E59" s="18" t="str">
        <f aca="false">IF(AND($E$42=INT($E$42),$E$42&gt;=0,$E$42&lt;=Temp_Worker_Max),"OK","VIOLATION")</f>
        <v>OK</v>
      </c>
    </row>
    <row r="60" customFormat="false" ht="15" hidden="false" customHeight="false" outlineLevel="0" collapsed="false">
      <c r="A60" s="10" t="s">
        <v>101</v>
      </c>
      <c r="B60" s="10"/>
      <c r="C60" s="10"/>
      <c r="D60" s="10"/>
      <c r="E60" s="18" t="str">
        <f aca="false">IF($E$46&lt;=Own_Labor_Hours+$E$42*Temp_Worker_Hours,"OK","VIOLATION - hire more workers")</f>
        <v>OK</v>
      </c>
    </row>
    <row r="63" customFormat="false" ht="15" hidden="false" customHeight="false" outlineLevel="0" collapsed="false">
      <c r="A63" s="3" t="s">
        <v>102</v>
      </c>
      <c r="B63" s="3"/>
      <c r="C63" s="3"/>
      <c r="D63" s="3"/>
      <c r="E63" s="3"/>
      <c r="F63" s="3"/>
    </row>
    <row r="64" customFormat="false" ht="15" hidden="false" customHeight="false" outlineLevel="0" collapsed="false">
      <c r="A64" s="10" t="s">
        <v>103</v>
      </c>
      <c r="B64" s="10"/>
      <c r="C64" s="10"/>
      <c r="D64" s="10"/>
      <c r="E64" s="18" t="str">
        <f aca="false">IF($E$40&gt;$E$41,"FAILS - carrots &gt; mesclun","holds")</f>
        <v>FAILS - carrots &gt; mesclun</v>
      </c>
    </row>
    <row r="65" customFormat="false" ht="15" hidden="false" customHeight="false" outlineLevel="0" collapsed="false">
      <c r="A65" s="2" t="s">
        <v>104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</row>
    <row r="66" customFormat="false" ht="15" hidden="false" customHeight="false" outlineLevel="0" collapsed="false">
      <c r="A66" s="3" t="s">
        <v>105</v>
      </c>
      <c r="B66" s="3"/>
      <c r="C66" s="3"/>
      <c r="D66" s="3"/>
      <c r="E66" s="3"/>
      <c r="F66" s="3"/>
    </row>
    <row r="67" customFormat="false" ht="15" hidden="false" customHeight="false" outlineLevel="0" collapsed="false">
      <c r="A67" s="17" t="s">
        <v>106</v>
      </c>
      <c r="B67" s="17"/>
      <c r="C67" s="17"/>
      <c r="D67" s="17"/>
      <c r="E67" s="12" t="n">
        <f aca="false">IF(($E$40+1)=0,0,INDEX(K5:K24,($E$40+1)))</f>
        <v>581.17418209476</v>
      </c>
    </row>
    <row r="68" customFormat="false" ht="15" hidden="false" customHeight="false" outlineLevel="0" collapsed="false">
      <c r="A68" s="17" t="s">
        <v>107</v>
      </c>
      <c r="B68" s="17"/>
      <c r="C68" s="17"/>
      <c r="D68" s="17"/>
      <c r="E68" s="12" t="n">
        <f aca="false">IF(($E$41-1)&lt;=0,0,INDEX(R5:R34,($E$41-1)))</f>
        <v>136.69453125</v>
      </c>
    </row>
    <row r="69" customFormat="false" ht="15" hidden="false" customHeight="false" outlineLevel="0" collapsed="false">
      <c r="A69" s="17" t="s">
        <v>108</v>
      </c>
      <c r="B69" s="17"/>
      <c r="C69" s="17"/>
      <c r="D69" s="17"/>
      <c r="E69" s="12" t="n">
        <f aca="false">$E$43+E67+E68</f>
        <v>2152.23692743476</v>
      </c>
    </row>
    <row r="70" customFormat="false" ht="15" hidden="false" customHeight="false" outlineLevel="0" collapsed="false">
      <c r="A70" s="17" t="s">
        <v>109</v>
      </c>
      <c r="B70" s="17"/>
      <c r="C70" s="17"/>
      <c r="D70" s="17"/>
      <c r="E70" s="33" t="n">
        <f aca="false">MIN(Temp_Worker_Max,IF(E69&lt;=Own_Labor_Hours,0,CEILING((E69-Own_Labor_Hours)/Temp_Worker_Hours,1)))</f>
        <v>1</v>
      </c>
    </row>
    <row r="71" customFormat="false" ht="15" hidden="false" customHeight="false" outlineLevel="0" collapsed="false">
      <c r="A71" s="17" t="s">
        <v>110</v>
      </c>
      <c r="B71" s="17"/>
      <c r="C71" s="17"/>
      <c r="D71" s="17"/>
      <c r="E71" s="34" t="n">
        <f aca="false">$E$39*Tomato_Price+($E$40+1)*Carrot_Price+($E$41-1)*Mesclun_Price-($E$39*Tomato_Fertilizer_Per_Bed+($E$40+1)*Carrot_Fertilizer_Per_Bed+($E$41-1)*Mesclun_Fertilizer_Per_Bed)-Temp_Wage_Per_Hour*MAX(0,E69-Own_Labor_Hours)-E70*Temp_Worker_Flat_Cost</f>
        <v>61260.3669397326</v>
      </c>
    </row>
    <row r="72" customFormat="false" ht="15" hidden="false" customHeight="false" outlineLevel="0" collapsed="false">
      <c r="A72" s="17" t="s">
        <v>111</v>
      </c>
      <c r="B72" s="17"/>
      <c r="C72" s="17"/>
      <c r="D72" s="17"/>
      <c r="E72" s="34" t="n">
        <f aca="false">E71-$E$51</f>
        <v>-109.109262356913</v>
      </c>
    </row>
    <row r="73" customFormat="false" ht="15" hidden="false" customHeight="false" outlineLevel="0" collapsed="false">
      <c r="A73" s="17" t="s">
        <v>112</v>
      </c>
      <c r="B73" s="17"/>
      <c r="C73" s="17"/>
      <c r="D73" s="17"/>
      <c r="E73" s="18" t="str">
        <f aca="false">IF(E72&gt;0,"FAILS - swap raises contribution, mesclun overconcentrated","holds - current mix is locally optimal for this swap")</f>
        <v>holds - current mix is locally optimal for this swap</v>
      </c>
    </row>
  </sheetData>
  <sheetProtection sheet="true"/>
  <mergeCells count="40">
    <mergeCell ref="A1:F1"/>
    <mergeCell ref="A2:U2"/>
    <mergeCell ref="B3:G3"/>
    <mergeCell ref="I3:N3"/>
    <mergeCell ref="P3:U3"/>
    <mergeCell ref="B26:E26"/>
    <mergeCell ref="I26:L26"/>
    <mergeCell ref="P36:S36"/>
    <mergeCell ref="A38:F38"/>
    <mergeCell ref="A39:D39"/>
    <mergeCell ref="A40:D40"/>
    <mergeCell ref="A41:D41"/>
    <mergeCell ref="A42:D42"/>
    <mergeCell ref="A43:D43"/>
    <mergeCell ref="A44:D44"/>
    <mergeCell ref="A45:D45"/>
    <mergeCell ref="A46:D46"/>
    <mergeCell ref="A47:D47"/>
    <mergeCell ref="A48:D48"/>
    <mergeCell ref="A49:D49"/>
    <mergeCell ref="A50:D50"/>
    <mergeCell ref="A51:D51"/>
    <mergeCell ref="A52:D52"/>
    <mergeCell ref="A55:D55"/>
    <mergeCell ref="A56:D56"/>
    <mergeCell ref="A57:D57"/>
    <mergeCell ref="A58:D58"/>
    <mergeCell ref="A59:D59"/>
    <mergeCell ref="A60:D60"/>
    <mergeCell ref="A63:F63"/>
    <mergeCell ref="A64:D64"/>
    <mergeCell ref="A65:U65"/>
    <mergeCell ref="A66:F66"/>
    <mergeCell ref="A67:D67"/>
    <mergeCell ref="A68:D68"/>
    <mergeCell ref="A69:D69"/>
    <mergeCell ref="A70:D70"/>
    <mergeCell ref="A71:D71"/>
    <mergeCell ref="A72:D72"/>
    <mergeCell ref="A73:D73"/>
  </mergeCells>
  <conditionalFormatting sqref="E55">
    <cfRule type="expression" priority="2" aboveAverage="0" equalAverage="0" bottom="0" percent="0" rank="0" text="" dxfId="0">
      <formula>E55="VIOLATION"</formula>
    </cfRule>
    <cfRule type="expression" priority="3" aboveAverage="0" equalAverage="0" bottom="0" percent="0" rank="0" text="" dxfId="1">
      <formula>E55="OK"</formula>
    </cfRule>
  </conditionalFormatting>
  <conditionalFormatting sqref="E56">
    <cfRule type="expression" priority="4" aboveAverage="0" equalAverage="0" bottom="0" percent="0" rank="0" text="" dxfId="0">
      <formula>E56="VIOLATION"</formula>
    </cfRule>
    <cfRule type="expression" priority="5" aboveAverage="0" equalAverage="0" bottom="0" percent="0" rank="0" text="" dxfId="1">
      <formula>E56="OK"</formula>
    </cfRule>
  </conditionalFormatting>
  <conditionalFormatting sqref="E57">
    <cfRule type="expression" priority="6" aboveAverage="0" equalAverage="0" bottom="0" percent="0" rank="0" text="" dxfId="0">
      <formula>E57="VIOLATION"</formula>
    </cfRule>
    <cfRule type="expression" priority="7" aboveAverage="0" equalAverage="0" bottom="0" percent="0" rank="0" text="" dxfId="1">
      <formula>E57="OK"</formula>
    </cfRule>
  </conditionalFormatting>
  <conditionalFormatting sqref="E58">
    <cfRule type="expression" priority="8" aboveAverage="0" equalAverage="0" bottom="0" percent="0" rank="0" text="" dxfId="0">
      <formula>E58="VIOLATION"</formula>
    </cfRule>
    <cfRule type="expression" priority="9" aboveAverage="0" equalAverage="0" bottom="0" percent="0" rank="0" text="" dxfId="1">
      <formula>E58="OK"</formula>
    </cfRule>
  </conditionalFormatting>
  <conditionalFormatting sqref="E59">
    <cfRule type="expression" priority="10" aboveAverage="0" equalAverage="0" bottom="0" percent="0" rank="0" text="" dxfId="0">
      <formula>E59="VIOLATION"</formula>
    </cfRule>
    <cfRule type="expression" priority="11" aboveAverage="0" equalAverage="0" bottom="0" percent="0" rank="0" text="" dxfId="1">
      <formula>E59="OK"</formula>
    </cfRule>
  </conditionalFormatting>
  <conditionalFormatting sqref="E60">
    <cfRule type="expression" priority="12" aboveAverage="0" equalAverage="0" bottom="0" percent="0" rank="0" text="" dxfId="0">
      <formula>E60="VIOLATION"</formula>
    </cfRule>
    <cfRule type="expression" priority="13" aboveAverage="0" equalAverage="0" bottom="0" percent="0" rank="0" text="" dxfId="1">
      <formula>E60="OK"</formula>
    </cfRule>
  </conditionalFormatting>
  <conditionalFormatting sqref="E73">
    <cfRule type="expression" priority="14" aboveAverage="0" equalAverage="0" bottom="0" percent="0" rank="0" text="" dxfId="0">
      <formula>ISNUMBER(SEARCH("FAILS",E73))</formula>
    </cfRule>
    <cfRule type="expression" priority="15" aboveAverage="0" equalAverage="0" bottom="0" percent="0" rank="0" text="" dxfId="1">
      <formula>ISNUMBER(SEARCH("holds",E73))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"/>
    <col collapsed="false" customWidth="true" hidden="false" outlineLevel="0" max="3" min="3" style="0" width="16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" t="s">
        <v>113</v>
      </c>
      <c r="B1" s="1"/>
      <c r="C1" s="1"/>
      <c r="D1" s="1"/>
    </row>
    <row r="2" customFormat="false" ht="15" hidden="false" customHeight="false" outlineLevel="0" collapsed="false">
      <c r="A2" s="2" t="s">
        <v>114</v>
      </c>
      <c r="B2" s="2"/>
      <c r="C2" s="2"/>
      <c r="D2" s="2"/>
    </row>
    <row r="4" customFormat="false" ht="15" hidden="false" customHeight="false" outlineLevel="0" collapsed="false">
      <c r="A4" s="3" t="s">
        <v>115</v>
      </c>
      <c r="B4" s="3"/>
      <c r="C4" s="3"/>
      <c r="D4" s="3"/>
    </row>
    <row r="6" customFormat="false" ht="15" hidden="false" customHeight="false" outlineLevel="0" collapsed="false">
      <c r="A6" s="20" t="s">
        <v>116</v>
      </c>
      <c r="C6" s="35" t="n">
        <v>10</v>
      </c>
    </row>
    <row r="7" customFormat="false" ht="15" hidden="false" customHeight="false" outlineLevel="0" collapsed="false">
      <c r="A7" s="20" t="s">
        <v>117</v>
      </c>
      <c r="C7" s="35" t="n">
        <v>15</v>
      </c>
    </row>
    <row r="8" customFormat="false" ht="15" hidden="false" customHeight="false" outlineLevel="0" collapsed="false">
      <c r="A8" s="20" t="s">
        <v>118</v>
      </c>
      <c r="C8" s="35" t="n">
        <v>4</v>
      </c>
    </row>
    <row r="9" customFormat="false" ht="15" hidden="false" customHeight="false" outlineLevel="0" collapsed="false">
      <c r="A9" s="20" t="s">
        <v>13</v>
      </c>
      <c r="C9" s="35" t="n">
        <v>1</v>
      </c>
    </row>
    <row r="11" customFormat="false" ht="15" hidden="false" customHeight="false" outlineLevel="0" collapsed="false">
      <c r="A11" s="3" t="s">
        <v>119</v>
      </c>
      <c r="B11" s="3"/>
      <c r="C11" s="15" t="n">
        <f aca="false">Calculations!$E$51</f>
        <v>61369.4762020895</v>
      </c>
    </row>
    <row r="13" customFormat="false" ht="15" hidden="false" customHeight="false" outlineLevel="0" collapsed="false">
      <c r="A13" s="3" t="s">
        <v>120</v>
      </c>
      <c r="B13" s="3"/>
      <c r="C13" s="3"/>
      <c r="D13" s="3"/>
    </row>
    <row r="14" customFormat="false" ht="15" hidden="false" customHeight="false" outlineLevel="0" collapsed="false">
      <c r="A14" s="10" t="s">
        <v>121</v>
      </c>
      <c r="B14" s="10"/>
      <c r="C14" s="10"/>
      <c r="D14" s="10"/>
    </row>
    <row r="15" customFormat="false" ht="15" hidden="false" customHeight="false" outlineLevel="0" collapsed="false">
      <c r="A15" s="10" t="s">
        <v>122</v>
      </c>
      <c r="B15" s="10"/>
      <c r="C15" s="10"/>
      <c r="D15" s="10"/>
    </row>
    <row r="16" customFormat="false" ht="15" hidden="false" customHeight="false" outlineLevel="0" collapsed="false">
      <c r="A16" s="10" t="s">
        <v>123</v>
      </c>
      <c r="B16" s="10"/>
      <c r="C16" s="10"/>
      <c r="D16" s="10"/>
    </row>
    <row r="17" customFormat="false" ht="15" hidden="false" customHeight="false" outlineLevel="0" collapsed="false">
      <c r="A17" s="10" t="s">
        <v>124</v>
      </c>
      <c r="B17" s="10"/>
      <c r="C17" s="10"/>
      <c r="D17" s="10"/>
    </row>
    <row r="18" customFormat="false" ht="15" hidden="false" customHeight="false" outlineLevel="0" collapsed="false">
      <c r="A18" s="10" t="s">
        <v>125</v>
      </c>
      <c r="B18" s="10"/>
      <c r="C18" s="10"/>
      <c r="D18" s="10"/>
    </row>
    <row r="19" customFormat="false" ht="15" hidden="false" customHeight="false" outlineLevel="0" collapsed="false">
      <c r="A19" s="10" t="s">
        <v>126</v>
      </c>
      <c r="B19" s="10"/>
      <c r="C19" s="10"/>
      <c r="D19" s="10"/>
    </row>
    <row r="20" customFormat="false" ht="15" hidden="false" customHeight="false" outlineLevel="0" collapsed="false">
      <c r="A20" s="10" t="s">
        <v>127</v>
      </c>
      <c r="B20" s="10"/>
      <c r="C20" s="10"/>
      <c r="D20" s="10"/>
    </row>
    <row r="22" customFormat="false" ht="15" hidden="false" customHeight="false" outlineLevel="0" collapsed="false">
      <c r="A22" s="3" t="s">
        <v>128</v>
      </c>
      <c r="B22" s="3"/>
      <c r="C22" s="3"/>
      <c r="D22" s="3"/>
    </row>
    <row r="23" customFormat="false" ht="15" hidden="false" customHeight="false" outlineLevel="0" collapsed="false">
      <c r="A23" s="10" t="s">
        <v>96</v>
      </c>
      <c r="B23" s="10"/>
      <c r="C23" s="36" t="str">
        <f aca="false">Calculations!$E$55</f>
        <v>OK</v>
      </c>
    </row>
    <row r="24" customFormat="false" ht="15" hidden="false" customHeight="false" outlineLevel="0" collapsed="false">
      <c r="A24" s="10" t="s">
        <v>97</v>
      </c>
      <c r="B24" s="10"/>
      <c r="C24" s="36" t="str">
        <f aca="false">Calculations!$E$56</f>
        <v>OK</v>
      </c>
    </row>
    <row r="25" customFormat="false" ht="15" hidden="false" customHeight="false" outlineLevel="0" collapsed="false">
      <c r="A25" s="10" t="s">
        <v>98</v>
      </c>
      <c r="B25" s="10"/>
      <c r="C25" s="36" t="str">
        <f aca="false">Calculations!$E$57</f>
        <v>OK</v>
      </c>
    </row>
    <row r="26" customFormat="false" ht="15" hidden="false" customHeight="false" outlineLevel="0" collapsed="false">
      <c r="A26" s="10" t="s">
        <v>99</v>
      </c>
      <c r="B26" s="10"/>
      <c r="C26" s="36" t="str">
        <f aca="false">Calculations!$E$58</f>
        <v>OK</v>
      </c>
    </row>
    <row r="27" customFormat="false" ht="15" hidden="false" customHeight="false" outlineLevel="0" collapsed="false">
      <c r="A27" s="10" t="s">
        <v>129</v>
      </c>
      <c r="B27" s="10"/>
      <c r="C27" s="36" t="str">
        <f aca="false">Calculations!$E$59</f>
        <v>OK</v>
      </c>
    </row>
    <row r="28" customFormat="false" ht="15" hidden="false" customHeight="false" outlineLevel="0" collapsed="false">
      <c r="A28" s="10" t="s">
        <v>130</v>
      </c>
      <c r="B28" s="10"/>
      <c r="C28" s="36" t="str">
        <f aca="false">Calculations!$E$60</f>
        <v>OK</v>
      </c>
    </row>
    <row r="30" customFormat="false" ht="15" hidden="false" customHeight="false" outlineLevel="0" collapsed="false">
      <c r="A30" s="2" t="s">
        <v>131</v>
      </c>
      <c r="B30" s="2"/>
      <c r="C30" s="2"/>
      <c r="D30" s="2"/>
    </row>
  </sheetData>
  <sheetProtection sheet="true"/>
  <mergeCells count="20">
    <mergeCell ref="A1:D1"/>
    <mergeCell ref="A2:D2"/>
    <mergeCell ref="A4:D4"/>
    <mergeCell ref="A11:B11"/>
    <mergeCell ref="A13:D13"/>
    <mergeCell ref="A14:D14"/>
    <mergeCell ref="A15:D15"/>
    <mergeCell ref="A16:D16"/>
    <mergeCell ref="A17:D17"/>
    <mergeCell ref="A18:D18"/>
    <mergeCell ref="A19:D19"/>
    <mergeCell ref="A20:D20"/>
    <mergeCell ref="A22:D22"/>
    <mergeCell ref="A23:B23"/>
    <mergeCell ref="A24:B24"/>
    <mergeCell ref="A25:B25"/>
    <mergeCell ref="A26:B26"/>
    <mergeCell ref="A27:B27"/>
    <mergeCell ref="A28:B28"/>
    <mergeCell ref="A30:D30"/>
  </mergeCells>
  <conditionalFormatting sqref="C23">
    <cfRule type="expression" priority="2" aboveAverage="0" equalAverage="0" bottom="0" percent="0" rank="0" text="" dxfId="0">
      <formula>C23="VIOLATION"</formula>
    </cfRule>
    <cfRule type="expression" priority="3" aboveAverage="0" equalAverage="0" bottom="0" percent="0" rank="0" text="" dxfId="1">
      <formula>C23="OK"</formula>
    </cfRule>
  </conditionalFormatting>
  <conditionalFormatting sqref="C24">
    <cfRule type="expression" priority="4" aboveAverage="0" equalAverage="0" bottom="0" percent="0" rank="0" text="" dxfId="0">
      <formula>C24="VIOLATION"</formula>
    </cfRule>
    <cfRule type="expression" priority="5" aboveAverage="0" equalAverage="0" bottom="0" percent="0" rank="0" text="" dxfId="1">
      <formula>C24="OK"</formula>
    </cfRule>
  </conditionalFormatting>
  <conditionalFormatting sqref="C25">
    <cfRule type="expression" priority="6" aboveAverage="0" equalAverage="0" bottom="0" percent="0" rank="0" text="" dxfId="0">
      <formula>C25="VIOLATION"</formula>
    </cfRule>
    <cfRule type="expression" priority="7" aboveAverage="0" equalAverage="0" bottom="0" percent="0" rank="0" text="" dxfId="1">
      <formula>C25="OK"</formula>
    </cfRule>
  </conditionalFormatting>
  <conditionalFormatting sqref="C26">
    <cfRule type="expression" priority="8" aboveAverage="0" equalAverage="0" bottom="0" percent="0" rank="0" text="" dxfId="0">
      <formula>C26="VIOLATION"</formula>
    </cfRule>
    <cfRule type="expression" priority="9" aboveAverage="0" equalAverage="0" bottom="0" percent="0" rank="0" text="" dxfId="1">
      <formula>C26="OK"</formula>
    </cfRule>
  </conditionalFormatting>
  <conditionalFormatting sqref="C27">
    <cfRule type="expression" priority="10" aboveAverage="0" equalAverage="0" bottom="0" percent="0" rank="0" text="" dxfId="0">
      <formula>C27="VIOLATION"</formula>
    </cfRule>
    <cfRule type="expression" priority="11" aboveAverage="0" equalAverage="0" bottom="0" percent="0" rank="0" text="" dxfId="1">
      <formula>C27="OK"</formula>
    </cfRule>
  </conditionalFormatting>
  <conditionalFormatting sqref="C28">
    <cfRule type="expression" priority="12" aboveAverage="0" equalAverage="0" bottom="0" percent="0" rank="0" text="" dxfId="0">
      <formula>C28="VIOLATION"</formula>
    </cfRule>
    <cfRule type="expression" priority="13" aboveAverage="0" equalAverage="0" bottom="0" percent="0" rank="0" text="" dxfId="1">
      <formula>C28="OK"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37" t="s">
        <v>132</v>
      </c>
    </row>
    <row r="3" customFormat="false" ht="15" hidden="false" customHeight="false" outlineLevel="0" collapsed="false">
      <c r="A3" s="38" t="s">
        <v>133</v>
      </c>
    </row>
    <row r="4" customFormat="false" ht="26.85" hidden="false" customHeight="false" outlineLevel="0" collapsed="false">
      <c r="A4" s="39" t="s">
        <v>134</v>
      </c>
    </row>
    <row r="6" customFormat="false" ht="15" hidden="false" customHeight="false" outlineLevel="0" collapsed="false">
      <c r="A6" s="38" t="s">
        <v>135</v>
      </c>
    </row>
    <row r="7" customFormat="false" ht="15" hidden="false" customHeight="false" outlineLevel="0" collapsed="false">
      <c r="A7" s="39" t="s">
        <v>136</v>
      </c>
    </row>
    <row r="8" customFormat="false" ht="26.85" hidden="false" customHeight="false" outlineLevel="0" collapsed="false">
      <c r="A8" s="39" t="s">
        <v>137</v>
      </c>
    </row>
    <row r="10" customFormat="false" ht="15" hidden="false" customHeight="false" outlineLevel="0" collapsed="false">
      <c r="A10" s="38" t="s">
        <v>138</v>
      </c>
    </row>
    <row r="11" customFormat="false" ht="26.85" hidden="false" customHeight="false" outlineLevel="0" collapsed="false">
      <c r="A11" s="39" t="s">
        <v>139</v>
      </c>
    </row>
    <row r="12" customFormat="false" ht="39.55" hidden="false" customHeight="false" outlineLevel="0" collapsed="false">
      <c r="A12" s="39" t="s">
        <v>140</v>
      </c>
    </row>
    <row r="13" customFormat="false" ht="26.85" hidden="false" customHeight="false" outlineLevel="0" collapsed="false">
      <c r="A13" s="39" t="s">
        <v>141</v>
      </c>
    </row>
    <row r="14" customFormat="false" ht="26.85" hidden="false" customHeight="false" outlineLevel="0" collapsed="false">
      <c r="A14" s="39" t="s">
        <v>142</v>
      </c>
    </row>
    <row r="16" customFormat="false" ht="15" hidden="false" customHeight="false" outlineLevel="0" collapsed="false">
      <c r="A16" s="38" t="s">
        <v>143</v>
      </c>
    </row>
    <row r="17" customFormat="false" ht="52.2" hidden="false" customHeight="false" outlineLevel="0" collapsed="false">
      <c r="A17" s="39" t="s">
        <v>144</v>
      </c>
    </row>
    <row r="18" customFormat="false" ht="26.85" hidden="false" customHeight="false" outlineLevel="0" collapsed="false">
      <c r="A18" s="39" t="s">
        <v>145</v>
      </c>
    </row>
    <row r="20" customFormat="false" ht="15" hidden="false" customHeight="false" outlineLevel="0" collapsed="false">
      <c r="A20" s="38" t="s">
        <v>146</v>
      </c>
    </row>
    <row r="21" customFormat="false" ht="52.2" hidden="false" customHeight="false" outlineLevel="0" collapsed="false">
      <c r="A21" s="39" t="s">
        <v>147</v>
      </c>
    </row>
    <row r="23" customFormat="false" ht="15" hidden="false" customHeight="false" outlineLevel="0" collapsed="false">
      <c r="A23" s="38" t="s">
        <v>148</v>
      </c>
    </row>
    <row r="24" customFormat="false" ht="26.85" hidden="false" customHeight="false" outlineLevel="0" collapsed="false">
      <c r="A24" s="39" t="s">
        <v>149</v>
      </c>
    </row>
    <row r="25" customFormat="false" ht="15" hidden="false" customHeight="false" outlineLevel="0" collapsed="false">
      <c r="A25" s="39" t="s">
        <v>150</v>
      </c>
    </row>
    <row r="26" customFormat="false" ht="26.85" hidden="false" customHeight="false" outlineLevel="0" collapsed="false">
      <c r="A26" s="39" t="s">
        <v>151</v>
      </c>
    </row>
    <row r="28" customFormat="false" ht="15" hidden="false" customHeight="false" outlineLevel="0" collapsed="false">
      <c r="A28" s="39" t="s">
        <v>152</v>
      </c>
    </row>
    <row r="29" customFormat="false" ht="15" hidden="false" customHeight="false" outlineLevel="0" collapsed="false">
      <c r="A29" s="39" t="s">
        <v>153</v>
      </c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2026-08-24T05:00:00Z</dcterms:created>
  <dc:creator>openpyxl</dc:creator>
  <dc:description/>
  <dc:language>en-US</dc:language>
  <cp:lastModifiedBy/>
  <dcterms:modified xsi:type="dcterms:W3CDTF">2026-08-24T05:00:00Z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